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tmo de ventas" sheetId="1" r:id="rId5"/>
    <sheet state="visible" name="Envios Paco Valero (packaging)" sheetId="2" r:id="rId6"/>
    <sheet state="visible" name="Recetas" sheetId="3" r:id="rId7"/>
    <sheet state="visible" name="Entradas materia prima" sheetId="4" r:id="rId8"/>
    <sheet state="visible" name="Materia Prima - Inventario" sheetId="5" r:id="rId9"/>
    <sheet state="visible" name="Entradas producto terminado" sheetId="6" r:id="rId10"/>
    <sheet state="visible" name="Producto terminado" sheetId="7" r:id="rId11"/>
    <sheet state="visible" name="Envios producto terminado" sheetId="8" r:id="rId12"/>
    <sheet state="visible" name="Compras rodri" sheetId="9" r:id="rId13"/>
    <sheet state="visible" name="Tiempos rodri " sheetId="10" r:id="rId14"/>
    <sheet state="visible" name="Tiempos Lucia" sheetId="11" r:id="rId15"/>
    <sheet state="visible" name="Tiempos Araceli" sheetId="12" r:id="rId16"/>
    <sheet state="visible" name="Recuento faltante" sheetId="13" r:id="rId17"/>
  </sheets>
  <definedNames>
    <definedName hidden="1" localSheetId="2" name="_xlnm._FilterDatabase">Recetas!$B$2:$F$201</definedName>
    <definedName hidden="1" localSheetId="3" name="_xlnm._FilterDatabase">'Entradas materia prima'!$B$2:$F$467</definedName>
    <definedName hidden="1" localSheetId="5" name="_xlnm._FilterDatabase">'Entradas producto terminado'!$B$2:$E$328</definedName>
    <definedName hidden="1" localSheetId="7" name="_xlnm._FilterDatabase">'Envios producto terminado'!$B$2:$E$416</definedName>
    <definedName hidden="1" localSheetId="9" name="_xlnm._FilterDatabase">'Tiempos rodri '!$F$41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depende del peso del calcio</t>
      </text>
    </comment>
    <comment authorId="0" ref="J4">
      <text>
        <t xml:space="preserve">depende del peso del calcio
</t>
      </text>
    </comment>
    <comment authorId="0" ref="J5">
      <text>
        <t xml:space="preserve">depende del peso del calcio</t>
      </text>
    </comment>
    <comment authorId="0" ref="H6">
      <text>
        <t xml:space="preserve">depende del peso de la tinta
</t>
      </text>
    </comment>
    <comment authorId="0" ref="H7">
      <text>
        <t xml:space="preserve">depende del peso de la tinta</t>
      </text>
    </comment>
    <comment authorId="0" ref="H8">
      <text>
        <t xml:space="preserve">depende del peso de la tinta</t>
      </text>
    </comment>
    <comment authorId="0" ref="H9">
      <text>
        <t xml:space="preserve">depende del peso de la tinta</t>
      </text>
    </comment>
    <comment authorId="0" ref="H10">
      <text>
        <t xml:space="preserve">depende del peso de la tinta</t>
      </text>
    </comment>
    <comment authorId="0" ref="H14">
      <text>
        <t xml:space="preserve">depende del peso de la tinta</t>
      </text>
    </comment>
    <comment authorId="0" ref="J14">
      <text>
        <t xml:space="preserve">depende del peso de la tinta
</t>
      </text>
    </comment>
    <comment authorId="0" ref="H15">
      <text>
        <t xml:space="preserve">depende del peso de la tinta</t>
      </text>
    </comment>
    <comment authorId="0" ref="J15">
      <text>
        <t xml:space="preserve">depende del peso de la tinta</t>
      </text>
    </comment>
    <comment authorId="0" ref="H16">
      <text>
        <t xml:space="preserve">peso tinta</t>
      </text>
    </comment>
    <comment authorId="0" ref="J16">
      <text>
        <t xml:space="preserve">depende del peso de la tinta</t>
      </text>
    </comment>
    <comment authorId="0" ref="H17">
      <text>
        <t xml:space="preserve">depende del peso de la tinta</t>
      </text>
    </comment>
    <comment authorId="0" ref="H19">
      <text>
        <t xml:space="preserve">Peso actualizado al pack</t>
      </text>
    </comment>
    <comment authorId="0" ref="H21">
      <text>
        <t xml:space="preserve">peso actualizado al pack</t>
      </text>
    </comment>
    <comment authorId="0" ref="J44">
      <text>
        <t xml:space="preserve">depende del peso del calcio</t>
      </text>
    </comment>
    <comment authorId="0" ref="J45">
      <text>
        <t xml:space="preserve">depende del peso del calcio
</t>
      </text>
    </comment>
    <comment authorId="0" ref="J46">
      <text>
        <t xml:space="preserve">depende del peso del calcio</t>
      </text>
    </comment>
    <comment authorId="0" ref="J55">
      <text>
        <t xml:space="preserve">depende del peso de la tinta
</t>
      </text>
    </comment>
    <comment authorId="0" ref="J56">
      <text>
        <t xml:space="preserve">depende del peso de la tinta</t>
      </text>
    </comment>
    <comment authorId="0" ref="J57">
      <text>
        <t xml:space="preserve">depende del peso de la tinta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tc={575f679b-ae93-47d4-9c3a-3fc462172752}</author>
  </authors>
  <commentList>
    <comment authorId="0" xr:uid="{575f679b-ae93-47d4-9c3a-3fc462172752}" ref="B3">
      <text>
        <t xml:space="preserve">[Threaded comment]
 Your version of Excel allows you to read this threaded comment; however, any edits to it will get removed if the file is opened in a newer version of Excel. Learn more: https://go.microsoft.com/fwlink/?linkid=870924
Comment:
	Factura Customica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
      <text>
        <t xml:space="preserve">incluye empaquetado </t>
      </text>
    </comment>
    <comment authorId="0" ref="I5">
      <text>
        <t xml:space="preserve">Incluye empaquetado</t>
      </text>
    </comment>
    <comment authorId="0" ref="H6">
      <text>
        <t xml:space="preserve">con empaquetado incluido </t>
      </text>
    </comment>
    <comment authorId="0" ref="E7">
      <text>
        <t xml:space="preserve">con pegado de etiqueta </t>
      </text>
    </comment>
    <comment authorId="0" ref="E8">
      <text>
        <t xml:space="preserve">con pegado de etiqueta </t>
      </text>
    </comment>
    <comment authorId="0" ref="F9">
      <text>
        <t xml:space="preserve">con pegado de etiqueta </t>
      </text>
    </comment>
    <comment authorId="0" ref="G9">
      <text>
        <t xml:space="preserve">con pegado de etiqueta sin preparar bolsa</t>
      </text>
    </comment>
    <comment authorId="0" ref="G10">
      <text>
        <t xml:space="preserve">sin pegatina</t>
      </text>
    </comment>
    <comment authorId="0" ref="H10">
      <text>
        <t xml:space="preserve">sin pegatina, con empaquetado y limpieza</t>
      </text>
    </comment>
    <comment authorId="0" ref="D11">
      <text>
        <t xml:space="preserve">sin pegatina</t>
      </text>
    </comment>
    <comment authorId="0" ref="E11">
      <text>
        <t xml:space="preserve">sin pegatina; con empaquetado</t>
      </text>
    </comment>
    <comment authorId="0" ref="F13">
      <text>
        <t xml:space="preserve">incluye empaquetado </t>
      </text>
    </comment>
    <comment authorId="0" ref="G13">
      <text>
        <t xml:space="preserve">con empaquetado </t>
      </text>
    </comment>
    <comment authorId="0" ref="H13">
      <text>
        <t xml:space="preserve">Incluye empaquetado en caja</t>
      </text>
    </comment>
    <comment authorId="0" ref="F15">
      <text>
        <t xml:space="preserve">Empaquetado incluido</t>
      </text>
    </comment>
    <comment authorId="0" ref="L20">
      <text>
        <t xml:space="preserve">Enroscado de tapon y empaquetado incluido</t>
      </text>
    </comment>
    <comment authorId="0" ref="G22">
      <text>
        <t xml:space="preserve">empaquetado y enroscada incluido</t>
      </text>
    </comment>
    <comment authorId="0" ref="E24">
      <text>
        <t xml:space="preserve">incluye empaquetado</t>
      </text>
    </comment>
    <comment authorId="0" ref="E25">
      <text>
        <t xml:space="preserve">con empaquetado </t>
      </text>
    </comment>
    <comment authorId="0" ref="E31">
      <text>
        <t xml:space="preserve">Incluye empaquetado en caja</t>
      </text>
    </comment>
    <comment authorId="0" ref="F31">
      <text>
        <t xml:space="preserve">Incluye empaquetado
</t>
      </text>
    </comment>
    <comment authorId="0" ref="G31">
      <text>
        <t xml:space="preserve">Incluye empaquetado</t>
      </text>
    </comment>
    <comment authorId="0" ref="E33">
      <text>
        <t xml:space="preserve">incluye empaquetado</t>
      </text>
    </comment>
    <comment authorId="0" ref="E34">
      <text>
        <t xml:space="preserve">incluye empaquetado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
      <text>
        <t xml:space="preserve">empaquetado incluido</t>
      </text>
    </comment>
    <comment authorId="0" ref="E19">
      <text>
        <t xml:space="preserve">con empaquetado </t>
      </text>
    </comment>
    <comment authorId="0" ref="E20">
      <text>
        <t xml:space="preserve">empaquetado incluido </t>
      </text>
    </comment>
    <comment authorId="0" ref="D21">
      <text>
        <t xml:space="preserve">Enroscado de tapon y empaquetado incluido</t>
      </text>
    </comment>
    <comment authorId="0" ref="D22">
      <text>
        <t xml:space="preserve">empaquetado y enroscado incluído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
      <text>
        <t xml:space="preserve">empaquetado incluido</t>
      </text>
    </comment>
    <comment authorId="0" ref="D21">
      <text>
        <t xml:space="preserve">Enroscado de tapon y empaquetado incluido</t>
      </text>
    </comment>
    <comment authorId="0" ref="D22">
      <text>
        <t xml:space="preserve">empaquetado y enroscado incluído
</t>
      </text>
    </comment>
  </commentList>
</comments>
</file>

<file path=xl/sharedStrings.xml><?xml version="1.0" encoding="utf-8"?>
<sst xmlns="http://schemas.openxmlformats.org/spreadsheetml/2006/main" count="3399" uniqueCount="508">
  <si>
    <t>Mes Abril 2025</t>
  </si>
  <si>
    <t>Mes Mayo 2025</t>
  </si>
  <si>
    <t>Mes Junio 2025</t>
  </si>
  <si>
    <t>Mes Julio 2025</t>
  </si>
  <si>
    <t>Mes Agosto 2025</t>
  </si>
  <si>
    <t>Calcio 4 pcs</t>
  </si>
  <si>
    <t>Calcio 8 pcs</t>
  </si>
  <si>
    <t>Calcio 15 pcs</t>
  </si>
  <si>
    <t xml:space="preserve">Menú </t>
  </si>
  <si>
    <t>Menú Grande</t>
  </si>
  <si>
    <t xml:space="preserve">Gammarus </t>
  </si>
  <si>
    <t>Gammarus Grande</t>
  </si>
  <si>
    <t>Calcio en polvo tortugas</t>
  </si>
  <si>
    <t>Gusanos de la Harina</t>
  </si>
  <si>
    <t>125 Blister 2 euro</t>
  </si>
  <si>
    <t>125 Blister 1 euro</t>
  </si>
  <si>
    <t>125 Blister 50 cts</t>
  </si>
  <si>
    <t>125 Blister 20 cts</t>
  </si>
  <si>
    <t>125 Blister 10 cts</t>
  </si>
  <si>
    <t>125 Blister 5 cts</t>
  </si>
  <si>
    <t>125 Blister 2 cts</t>
  </si>
  <si>
    <t>125 Blister 1 cts</t>
  </si>
  <si>
    <t>250 pack 1e + 2 e</t>
  </si>
  <si>
    <t>250 Blister 1e</t>
  </si>
  <si>
    <t>200 Mix blister</t>
  </si>
  <si>
    <t>400 Mix Blister</t>
  </si>
  <si>
    <t>Peonza pack tradi (52mm)</t>
  </si>
  <si>
    <t>Peonza pack mini (48mm)</t>
  </si>
  <si>
    <t>Peonza pack mini (boli)</t>
  </si>
  <si>
    <t xml:space="preserve">Pack 126 ceras            </t>
  </si>
  <si>
    <t>Pack 150 lápices</t>
  </si>
  <si>
    <t>Pack 200 lápices</t>
  </si>
  <si>
    <t>Solo tubo Flexi Vox (transparente)</t>
  </si>
  <si>
    <t>Solo tubo Flexi Vox (rojo)</t>
  </si>
  <si>
    <t>Solo tubo Flexi Vox (negro)</t>
  </si>
  <si>
    <t>Set Flexi Vox (transparente)</t>
  </si>
  <si>
    <t>Set Flexi Vox (rojo)</t>
  </si>
  <si>
    <t>Set Flexi Vox (negro)</t>
  </si>
  <si>
    <t>ENTRADAS</t>
  </si>
  <si>
    <t>STOCK (entradas - salidas)</t>
  </si>
  <si>
    <t>4 pcs</t>
  </si>
  <si>
    <t>8pcs</t>
  </si>
  <si>
    <t>15pcs</t>
  </si>
  <si>
    <t>Tarjetas valoración</t>
  </si>
  <si>
    <t>SALIDAS</t>
  </si>
  <si>
    <t>Item</t>
  </si>
  <si>
    <t>Producto</t>
  </si>
  <si>
    <t>Materia Prima</t>
  </si>
  <si>
    <t>Medida</t>
  </si>
  <si>
    <t>Cantidad</t>
  </si>
  <si>
    <t>Tarjetas valoraciones</t>
  </si>
  <si>
    <t>Pegatina redonda transparente</t>
  </si>
  <si>
    <t>No existe</t>
  </si>
  <si>
    <t>Packaging calcio 4</t>
  </si>
  <si>
    <t>unidad</t>
  </si>
  <si>
    <t>Calcio en pastillas tortugas</t>
  </si>
  <si>
    <t>Packaging calcio 8</t>
  </si>
  <si>
    <t>Packaging calcio 15</t>
  </si>
  <si>
    <t>Bolsas Blister</t>
  </si>
  <si>
    <t>Pegatina riesgo de asfixia</t>
  </si>
  <si>
    <t>Flyer Blister 2 euro</t>
  </si>
  <si>
    <t>Torre 125 Blister 2 euro</t>
  </si>
  <si>
    <t>Flyer Blister 1 euro</t>
  </si>
  <si>
    <t>Torre 125 Blister 1 euro</t>
  </si>
  <si>
    <t>Codigo de barras pegatina</t>
  </si>
  <si>
    <t>Torre 125 Blister 50 cts</t>
  </si>
  <si>
    <t>Torre 125 Blister 20 cts</t>
  </si>
  <si>
    <t>Torre 125 Blister 10 cts</t>
  </si>
  <si>
    <t>Torre 125 Blister 5 cts</t>
  </si>
  <si>
    <t>Torre 125 Blister 2 cts</t>
  </si>
  <si>
    <t>Torre 125 Blister 1 cts</t>
  </si>
  <si>
    <t>250 Blister 2e</t>
  </si>
  <si>
    <t>Pegatina 200 Mix blister</t>
  </si>
  <si>
    <t>Pack Mix 200 blister</t>
  </si>
  <si>
    <t>Bolsa amarilla</t>
  </si>
  <si>
    <t>Bolsa naranja</t>
  </si>
  <si>
    <t>Ceras peonzas</t>
  </si>
  <si>
    <t>Peonza tradi (52mm)</t>
  </si>
  <si>
    <t>Arandela</t>
  </si>
  <si>
    <t>Bolsas peonzas</t>
  </si>
  <si>
    <t>Bolsa roja</t>
  </si>
  <si>
    <t>Bolsa verde</t>
  </si>
  <si>
    <t>Peonza mini (48mm)</t>
  </si>
  <si>
    <t>Bolsa zip FlexiVox (transparente)</t>
  </si>
  <si>
    <t>cepillos set flexivox</t>
  </si>
  <si>
    <t>Flyer FlexiVox</t>
  </si>
  <si>
    <t>Manguera FlexiVox (transparente)</t>
  </si>
  <si>
    <t>Bolsa zip FlexiVox (roja)</t>
  </si>
  <si>
    <t>Manguera FlexiVox (roja)</t>
  </si>
  <si>
    <t>Bolsa zip FlexiVox (negra)</t>
  </si>
  <si>
    <t>Manguera FlexiVox (negra)</t>
  </si>
  <si>
    <t>Bolsas algodon FlexiVox</t>
  </si>
  <si>
    <t>Cepillos set FlexiVox</t>
  </si>
  <si>
    <t>Botella transparente FlexiVox</t>
  </si>
  <si>
    <t>Tapon 3d set FlexiVox (negro)</t>
  </si>
  <si>
    <t>Tapon estanco set FlexiVox</t>
  </si>
  <si>
    <t>Cajas set FlexiVox (transparente)</t>
  </si>
  <si>
    <t>Desafil</t>
  </si>
  <si>
    <t>Botella roja FlexiVox</t>
  </si>
  <si>
    <t>Tapon 3d set FlexiVox (rojo)</t>
  </si>
  <si>
    <t>Cajas set FlexiVox (rojo)</t>
  </si>
  <si>
    <t>Botella negra FlexiVox</t>
  </si>
  <si>
    <t>Cajas set FlexiVox (negro)</t>
  </si>
  <si>
    <t>200g Menú Junior</t>
  </si>
  <si>
    <t>Vaso medidor 10ml</t>
  </si>
  <si>
    <t>Mast 45/7 - 3mm</t>
  </si>
  <si>
    <t>gramo</t>
  </si>
  <si>
    <t>bolsa zip Menu Junior</t>
  </si>
  <si>
    <t>75g Gammarus</t>
  </si>
  <si>
    <t>Comida Gammarus</t>
  </si>
  <si>
    <t>bolsa zip 75g Gammarus</t>
  </si>
  <si>
    <t>150g Calcio en polvo</t>
  </si>
  <si>
    <t>Vaso medidor calcio en polvo</t>
  </si>
  <si>
    <t>Bolsas calcio en polvo</t>
  </si>
  <si>
    <t>Pegatina caja envio</t>
  </si>
  <si>
    <t>Pegatina A6</t>
  </si>
  <si>
    <t>Pegatina 400 Mix blister</t>
  </si>
  <si>
    <t>Pack Mix 400 blister</t>
  </si>
  <si>
    <t>Pack 126 ceras</t>
  </si>
  <si>
    <t>Pegatina Pack 126 ceras</t>
  </si>
  <si>
    <t>Caja 50 pack 4 lapices</t>
  </si>
  <si>
    <t>Lapices Tynie</t>
  </si>
  <si>
    <t>Pegatina Caja 50 pack 4 lapices</t>
  </si>
  <si>
    <t>Caja 25 pack 6 lapices</t>
  </si>
  <si>
    <t>Lapices Girls</t>
  </si>
  <si>
    <t>Pegatina Caja 25 pack 6 lapices</t>
  </si>
  <si>
    <t>Menu grande</t>
  </si>
  <si>
    <t>Vaso medidor 50ml</t>
  </si>
  <si>
    <t>Comida menu tortugas</t>
  </si>
  <si>
    <t>Pegatina Menu grande</t>
  </si>
  <si>
    <t>Tupper rectangular</t>
  </si>
  <si>
    <t>Trozo de desafil</t>
  </si>
  <si>
    <t>175g Gusanos de la harina</t>
  </si>
  <si>
    <t>Gusanos de la harina secos</t>
  </si>
  <si>
    <t>175g bolsa zip gusanos</t>
  </si>
  <si>
    <t>300g Gusanos de la harina</t>
  </si>
  <si>
    <t>300g bolsa zip gusanos</t>
  </si>
  <si>
    <t>800g Gusanos de la harina</t>
  </si>
  <si>
    <t>800g bolsa zip gusanos</t>
  </si>
  <si>
    <t>250g Calcio en polvo</t>
  </si>
  <si>
    <t>1000g Larvas mosca</t>
  </si>
  <si>
    <t>Larvas de mosca</t>
  </si>
  <si>
    <t>1000g bolsa zip larva mosca</t>
  </si>
  <si>
    <t>900g Menú Sticks</t>
  </si>
  <si>
    <t>Fischfit Karpfen 26/6 - 5mm</t>
  </si>
  <si>
    <t>bolsa zip Menú Sticks</t>
  </si>
  <si>
    <t>1500g Menú Sticks</t>
  </si>
  <si>
    <t>300g Gammarus</t>
  </si>
  <si>
    <t>bolsa zip 300g Gammarus</t>
  </si>
  <si>
    <t>Shrimps</t>
  </si>
  <si>
    <t>Fecha</t>
  </si>
  <si>
    <t>Seleccion</t>
  </si>
  <si>
    <t>Bolsas calcio 4</t>
  </si>
  <si>
    <t>Bolsas plastico FlexiVox</t>
  </si>
  <si>
    <t>Botellas set FlexiVox</t>
  </si>
  <si>
    <t xml:space="preserve">regulación </t>
  </si>
  <si>
    <t>regulación Paco</t>
  </si>
  <si>
    <t>regulación</t>
  </si>
  <si>
    <t>merma</t>
  </si>
  <si>
    <t>antiguos</t>
  </si>
  <si>
    <t>Peonza boligrafo</t>
  </si>
  <si>
    <t>puesta a cero</t>
  </si>
  <si>
    <t>Bolsa transporte peonza</t>
  </si>
  <si>
    <t>devoluciones</t>
  </si>
  <si>
    <t>reposicion frances</t>
  </si>
  <si>
    <t>Pegatina Gusanos de la harina</t>
  </si>
  <si>
    <t>puesta a cero - nueva receta</t>
  </si>
  <si>
    <t>regulacion</t>
  </si>
  <si>
    <t>ANTIGUO</t>
  </si>
  <si>
    <t>proveedor</t>
  </si>
  <si>
    <t>antiguo</t>
  </si>
  <si>
    <t>ibi</t>
  </si>
  <si>
    <t>Pegatina gammarus grande</t>
  </si>
  <si>
    <t>uso por falta</t>
  </si>
  <si>
    <t>gusanos con moho</t>
  </si>
  <si>
    <t>ibiaux</t>
  </si>
  <si>
    <t>faltante</t>
  </si>
  <si>
    <t>culpa del proveedor</t>
  </si>
  <si>
    <t>ganancia</t>
  </si>
  <si>
    <t>pérdida</t>
  </si>
  <si>
    <t>culpa del manipulador</t>
  </si>
  <si>
    <t>Puesta a cero</t>
  </si>
  <si>
    <t xml:space="preserve">ibi jogar </t>
  </si>
  <si>
    <t xml:space="preserve">ibi aux </t>
  </si>
  <si>
    <t>rectificación</t>
  </si>
  <si>
    <t>entrante</t>
  </si>
  <si>
    <t>alibaba</t>
  </si>
  <si>
    <t>jogar</t>
  </si>
  <si>
    <t>codigo de barras</t>
  </si>
  <si>
    <t xml:space="preserve">ivan </t>
  </si>
  <si>
    <t>por nueva receta</t>
  </si>
  <si>
    <t>puesta cero</t>
  </si>
  <si>
    <t>cambio de referencia</t>
  </si>
  <si>
    <t>ajuste</t>
  </si>
  <si>
    <t>ibaux</t>
  </si>
  <si>
    <t>Materia prima</t>
  </si>
  <si>
    <t>Alerta</t>
  </si>
  <si>
    <t>Stock</t>
  </si>
  <si>
    <t>Entradas</t>
  </si>
  <si>
    <t>Salidas</t>
  </si>
  <si>
    <t>Peso</t>
  </si>
  <si>
    <t>Medida2</t>
  </si>
  <si>
    <t>Volumen</t>
  </si>
  <si>
    <t>Medida3</t>
  </si>
  <si>
    <t>CALCIO</t>
  </si>
  <si>
    <t>BLISTER</t>
  </si>
  <si>
    <t>JUGUETES</t>
  </si>
  <si>
    <t>FLEXIVOX</t>
  </si>
  <si>
    <t>700g caja Packly</t>
  </si>
  <si>
    <t>COMIDA</t>
  </si>
  <si>
    <t xml:space="preserve">histórico: </t>
  </si>
  <si>
    <t>cc</t>
  </si>
  <si>
    <t>ZIP</t>
  </si>
  <si>
    <t>VASOS</t>
  </si>
  <si>
    <t>Codigo</t>
  </si>
  <si>
    <t>6/03/0205</t>
  </si>
  <si>
    <t>10/03/0205</t>
  </si>
  <si>
    <t>400 Mix blister</t>
  </si>
  <si>
    <t>Peonza pack boligrafo</t>
  </si>
  <si>
    <t>por stock</t>
  </si>
  <si>
    <t>puesta a 0</t>
  </si>
  <si>
    <t>Unidades/caja blister</t>
  </si>
  <si>
    <t>Kg/caja blister</t>
  </si>
  <si>
    <t>Unidades/caja 60cm</t>
  </si>
  <si>
    <t>Kg/caja 60cm</t>
  </si>
  <si>
    <t>X001ZX0POZ</t>
  </si>
  <si>
    <t>45-50</t>
  </si>
  <si>
    <t>400-450</t>
  </si>
  <si>
    <t>X0023Z587N</t>
  </si>
  <si>
    <t>90-100</t>
  </si>
  <si>
    <t>190-240</t>
  </si>
  <si>
    <t>X0020SEA27</t>
  </si>
  <si>
    <t>170-190</t>
  </si>
  <si>
    <t>130-140</t>
  </si>
  <si>
    <t>X0020CBXEB</t>
  </si>
  <si>
    <t>X001ZWYLGT</t>
  </si>
  <si>
    <t>120-128</t>
  </si>
  <si>
    <t>X001ZWYLKZ</t>
  </si>
  <si>
    <t>X001ZX0S5V</t>
  </si>
  <si>
    <t>130-144</t>
  </si>
  <si>
    <t>X001ZWYLEV</t>
  </si>
  <si>
    <t>X002C19NS3</t>
  </si>
  <si>
    <t>X002C1CJ7F</t>
  </si>
  <si>
    <t>110-116</t>
  </si>
  <si>
    <t>X002C1CJ8J</t>
  </si>
  <si>
    <t>X0020YLXBH</t>
  </si>
  <si>
    <t>64-66</t>
  </si>
  <si>
    <t>X0021AE70T</t>
  </si>
  <si>
    <t>66-69</t>
  </si>
  <si>
    <t>X0021FV7IJ</t>
  </si>
  <si>
    <t>66-68</t>
  </si>
  <si>
    <t>X00261K41J</t>
  </si>
  <si>
    <t>X00231OTYP</t>
  </si>
  <si>
    <t>X00231UMEV</t>
  </si>
  <si>
    <t>?</t>
  </si>
  <si>
    <t>SUELTOS</t>
  </si>
  <si>
    <t>Gusanos grande</t>
  </si>
  <si>
    <t>X002329SC7</t>
  </si>
  <si>
    <t>calcio 15pcs</t>
  </si>
  <si>
    <t>X00282CB6H</t>
  </si>
  <si>
    <t>X002826LF9</t>
  </si>
  <si>
    <t>X00232708V</t>
  </si>
  <si>
    <t>Gammarus</t>
  </si>
  <si>
    <t>X002720AJX</t>
  </si>
  <si>
    <t>X00271R7XB</t>
  </si>
  <si>
    <t>200g Menu Junior</t>
  </si>
  <si>
    <t>X00256XII1</t>
  </si>
  <si>
    <t>X00258753X</t>
  </si>
  <si>
    <t>X0027TA05P</t>
  </si>
  <si>
    <t>80x40x40</t>
  </si>
  <si>
    <t>Menú selección tortugas</t>
  </si>
  <si>
    <t>Gammarus tortugas</t>
  </si>
  <si>
    <t>Gusanos de la harina</t>
  </si>
  <si>
    <t>18-22,5</t>
  </si>
  <si>
    <t>Gammarus grande</t>
  </si>
  <si>
    <t>paco</t>
  </si>
  <si>
    <t>Correos</t>
  </si>
  <si>
    <t>Caritas</t>
  </si>
  <si>
    <t>anterior</t>
  </si>
  <si>
    <t>olvidado</t>
  </si>
  <si>
    <t>Rodri debe a Ale</t>
  </si>
  <si>
    <t>Ale debe a Rodri</t>
  </si>
  <si>
    <t>Custómica</t>
  </si>
  <si>
    <t>Libreria</t>
  </si>
  <si>
    <t>Moro</t>
  </si>
  <si>
    <t>Destornilladores impresora</t>
  </si>
  <si>
    <t>Makito</t>
  </si>
  <si>
    <t>Mayo manufactura</t>
  </si>
  <si>
    <t>Helium10 Julio</t>
  </si>
  <si>
    <t>Junio manufactura</t>
  </si>
  <si>
    <t>Julio manufactura</t>
  </si>
  <si>
    <t>Prueba Alibaba</t>
  </si>
  <si>
    <t>Agosto manufactura</t>
  </si>
  <si>
    <t>Helium 10 Agosto</t>
  </si>
  <si>
    <t xml:space="preserve">copistería </t>
  </si>
  <si>
    <t>Helium 10 anual</t>
  </si>
  <si>
    <t>Canvas anual</t>
  </si>
  <si>
    <t>Septiembre manufactura</t>
  </si>
  <si>
    <t>Aliexpress palomitas 14.08.2025</t>
  </si>
  <si>
    <t>Octubre manufactura</t>
  </si>
  <si>
    <t>Fiver 25.08.2025</t>
  </si>
  <si>
    <t>Noviembre manufactura</t>
  </si>
  <si>
    <t>Alibaba 25.08.2025</t>
  </si>
  <si>
    <t xml:space="preserve">Diciembre manufactura </t>
  </si>
  <si>
    <t>Alibaba 25.08.2025 abono</t>
  </si>
  <si>
    <t>Jamon SEMAF</t>
  </si>
  <si>
    <t xml:space="preserve">Análisis microbiológico </t>
  </si>
  <si>
    <t xml:space="preserve">Camisetas urban gym </t>
  </si>
  <si>
    <t>600kg maiz</t>
  </si>
  <si>
    <t>factura sí</t>
  </si>
  <si>
    <t>maíz para palomitas cines victoria</t>
  </si>
  <si>
    <t>Helium 10 Septiembre</t>
  </si>
  <si>
    <t>Transferencia</t>
  </si>
  <si>
    <t>Enero manufactura</t>
  </si>
  <si>
    <t>Ganancia a 21/12/2025</t>
  </si>
  <si>
    <t xml:space="preserve"> Libreria impresión 66 página facturas </t>
  </si>
  <si>
    <t>Transferencia a cuenta santander</t>
  </si>
  <si>
    <t>Envio Huelva</t>
  </si>
  <si>
    <t>Envio Sevilla</t>
  </si>
  <si>
    <t>Envio Malaga</t>
  </si>
  <si>
    <t>Aliexpress 29.09.2025</t>
  </si>
  <si>
    <t>Muestras Esencia y sabor 23.09</t>
  </si>
  <si>
    <t>Helium 10 Octubre</t>
  </si>
  <si>
    <t>Muestras cajas Kartox 30.09</t>
  </si>
  <si>
    <t>Flyers 2500</t>
  </si>
  <si>
    <t>Señorio fuentes AOVE</t>
  </si>
  <si>
    <t>Kartox 100076076</t>
  </si>
  <si>
    <t>devuelto sí</t>
  </si>
  <si>
    <t>Kartox 100076083</t>
  </si>
  <si>
    <t>Kartox 100076088</t>
  </si>
  <si>
    <t>Precifilm</t>
  </si>
  <si>
    <t xml:space="preserve">AMC Glass </t>
  </si>
  <si>
    <t>Picos obando 15/10</t>
  </si>
  <si>
    <t>vence 14/12/2025 SEPA pagada</t>
  </si>
  <si>
    <t>Esencia y sabor 14/10</t>
  </si>
  <si>
    <t>La bolsera viruta madera</t>
  </si>
  <si>
    <t>Kartox 100076132</t>
  </si>
  <si>
    <t>Aliexpress 10/10</t>
  </si>
  <si>
    <t>Shein bolsas papel palomitas</t>
  </si>
  <si>
    <t>Fomdisa chorizo y salchichon 15/10</t>
  </si>
  <si>
    <t>valdequemao aove 15/10</t>
  </si>
  <si>
    <t>jamon pinto 15/10</t>
  </si>
  <si>
    <t xml:space="preserve">19/12/2025 pagada </t>
  </si>
  <si>
    <t>vinos bodegas ortiz 15/10</t>
  </si>
  <si>
    <t xml:space="preserve">Picos obando </t>
  </si>
  <si>
    <t xml:space="preserve">vence 27/12/2025 SEPA pagada </t>
  </si>
  <si>
    <t>Esencia y sabor 21/10</t>
  </si>
  <si>
    <t>vence 21/01/2026 pagado</t>
  </si>
  <si>
    <t>Esencia y sabor 22/10</t>
  </si>
  <si>
    <t>vence 20/01/2026 pagado</t>
  </si>
  <si>
    <t>Esencia y sabor 23/10</t>
  </si>
  <si>
    <t>pagado</t>
  </si>
  <si>
    <t>AOVE valdequemao 20/10</t>
  </si>
  <si>
    <t>vence 19/11 SEPA pagada</t>
  </si>
  <si>
    <t>Fomdisa chorizo y salchichon 20/10</t>
  </si>
  <si>
    <t>Vinos bodegas ortiz 20/10</t>
  </si>
  <si>
    <t>Vinos bodegas ortiz 21/10</t>
  </si>
  <si>
    <t>vence 5/12/2025 pagada</t>
  </si>
  <si>
    <t>jamon pinto 752</t>
  </si>
  <si>
    <t>jamon pinto 100</t>
  </si>
  <si>
    <t>AOVE valdequemao 27/10</t>
  </si>
  <si>
    <t>vence 26/11/2025 SEPA pagada</t>
  </si>
  <si>
    <t>Envio Correos Cadi</t>
  </si>
  <si>
    <t>Maiz 600kg</t>
  </si>
  <si>
    <t>Bolsa papel roja palomitas</t>
  </si>
  <si>
    <t>Esencia y Sabor 2457</t>
  </si>
  <si>
    <t>vence 24/01/2026 pagada</t>
  </si>
  <si>
    <t>Kartox 31/10</t>
  </si>
  <si>
    <t>Focos</t>
  </si>
  <si>
    <t>Fotografo Abel</t>
  </si>
  <si>
    <t>AMC Glass</t>
  </si>
  <si>
    <t>La bolsera</t>
  </si>
  <si>
    <t>vence 18/12/2025 SEPA pagada</t>
  </si>
  <si>
    <t>Kartox</t>
  </si>
  <si>
    <t>Fomdisa</t>
  </si>
  <si>
    <t>Fomdisa abono 1</t>
  </si>
  <si>
    <t>Fomdisa abono 2</t>
  </si>
  <si>
    <t>Obando 50</t>
  </si>
  <si>
    <t>26/01/2026 SEPA</t>
  </si>
  <si>
    <t>Vino Bodegas Ortiz 162</t>
  </si>
  <si>
    <t>14/01/2026 pago manual</t>
  </si>
  <si>
    <t>Jamon 099</t>
  </si>
  <si>
    <t>Samsal</t>
  </si>
  <si>
    <t>factura</t>
  </si>
  <si>
    <t>Cobo Calleja</t>
  </si>
  <si>
    <t>Kartox 17</t>
  </si>
  <si>
    <t>Bricocentro</t>
  </si>
  <si>
    <t>Obando 95</t>
  </si>
  <si>
    <t xml:space="preserve">31/01/2026 SEPA pagada </t>
  </si>
  <si>
    <t>AOVE Capricho Andaluz</t>
  </si>
  <si>
    <t>AMC Glass 3041</t>
  </si>
  <si>
    <t>AOVE viñaoliva</t>
  </si>
  <si>
    <t>La bolsera 16</t>
  </si>
  <si>
    <t xml:space="preserve">04/01/2026 SEPA pagada </t>
  </si>
  <si>
    <t>Libreria Cervantes</t>
  </si>
  <si>
    <t>Traspalé ZAMCAR</t>
  </si>
  <si>
    <t>Vino Bodegas Ortiz 168</t>
  </si>
  <si>
    <t>02/02/2026 pago manual pagada</t>
  </si>
  <si>
    <t>Fomdisa 64</t>
  </si>
  <si>
    <t>Jamon 6045</t>
  </si>
  <si>
    <t>Volver a Empezar Indalitos</t>
  </si>
  <si>
    <t>05/03/26 SEPA</t>
  </si>
  <si>
    <t>Transporte 10 palé</t>
  </si>
  <si>
    <t>Esencia y Sabor 3021</t>
  </si>
  <si>
    <t>Esencia y Sabor abono 3381</t>
  </si>
  <si>
    <t>Maiz 1250kg</t>
  </si>
  <si>
    <t>08/01/2026 pago manual pagada</t>
  </si>
  <si>
    <t>Fomdisa abono 7811</t>
  </si>
  <si>
    <t>Jamon</t>
  </si>
  <si>
    <t>01/02/2026 SEPA</t>
  </si>
  <si>
    <t>albaran 6764</t>
  </si>
  <si>
    <t>Fomdisa 8366</t>
  </si>
  <si>
    <t>Kartox 1948</t>
  </si>
  <si>
    <t>Obando 7408</t>
  </si>
  <si>
    <t>15/02/2026 SEPA</t>
  </si>
  <si>
    <t>AOVE ViñaOliva</t>
  </si>
  <si>
    <t>Vino Bodegas Ortiz 183</t>
  </si>
  <si>
    <t>22/02/2026 pagar manualmente</t>
  </si>
  <si>
    <t>Jamon guille</t>
  </si>
  <si>
    <t>Alquiler Oct. - Nov. - Dec.</t>
  </si>
  <si>
    <t>360imprimir flyer + tarjetas</t>
  </si>
  <si>
    <t>Jamon Ale</t>
  </si>
  <si>
    <t>Fiver 05.02.2026</t>
  </si>
  <si>
    <t>Maiz F26-0389</t>
  </si>
  <si>
    <t>7/03/2026 SEPA</t>
  </si>
  <si>
    <t>Bolsas zip palomitas</t>
  </si>
  <si>
    <t>LIQUIDADO</t>
  </si>
  <si>
    <t>01/10 - 31/01</t>
  </si>
  <si>
    <t>Ganancia neta</t>
  </si>
  <si>
    <t>Costes bienes</t>
  </si>
  <si>
    <t>cesta mini vino</t>
  </si>
  <si>
    <t>Folios pegatina Amazon</t>
  </si>
  <si>
    <t>Febrero manufactura</t>
  </si>
  <si>
    <t>cesta mini avoe</t>
  </si>
  <si>
    <t>Pale Palletway embutidos</t>
  </si>
  <si>
    <t>cesta grande</t>
  </si>
  <si>
    <t xml:space="preserve"> FANISA embutidos</t>
  </si>
  <si>
    <t>Marzo manufactura</t>
  </si>
  <si>
    <t>cesta mediana</t>
  </si>
  <si>
    <t>palomitas negra</t>
  </si>
  <si>
    <t>palomitas amarillas</t>
  </si>
  <si>
    <t>A fecha de 09/02/2026 se ha liquidado</t>
  </si>
  <si>
    <t>Nombre</t>
  </si>
  <si>
    <t>minutos / 100 unidades</t>
  </si>
  <si>
    <t>Menu Grande</t>
  </si>
  <si>
    <t>150g Calcio en polvo tortugas</t>
  </si>
  <si>
    <t>250g Calcio en polvo tortugas</t>
  </si>
  <si>
    <t>Embalar caja</t>
  </si>
  <si>
    <t xml:space="preserve">Etiquetas en flyer </t>
  </si>
  <si>
    <t>Crear caja 60x60x60cm</t>
  </si>
  <si>
    <t>Desafil TUPPERs</t>
  </si>
  <si>
    <t>Gusanos tuppers</t>
  </si>
  <si>
    <t>Gusanos 300g</t>
  </si>
  <si>
    <t>Gusanos 175g</t>
  </si>
  <si>
    <t>Gusanos 800g</t>
  </si>
  <si>
    <t xml:space="preserve">Pegar codigos de barra en flyer </t>
  </si>
  <si>
    <t>Gusanos grandes de la harina</t>
  </si>
  <si>
    <t>Menú grande</t>
  </si>
  <si>
    <t>Vinieron</t>
  </si>
  <si>
    <t>En vez de</t>
  </si>
  <si>
    <t>200 Mix</t>
  </si>
  <si>
    <t>20 cts</t>
  </si>
  <si>
    <t>1e</t>
  </si>
  <si>
    <t>2e</t>
  </si>
  <si>
    <t>bolsa transporte peonza</t>
  </si>
  <si>
    <t>bolsa roja</t>
  </si>
  <si>
    <t>torre 125 de 5cts</t>
  </si>
  <si>
    <t>Nº</t>
  </si>
  <si>
    <t>Imagen</t>
  </si>
  <si>
    <t>Qué debe transmitir</t>
  </si>
  <si>
    <t>Qué debe evocar (emoción)</t>
  </si>
  <si>
    <t>Lleva texto</t>
  </si>
  <si>
    <t>Rol dentro del anuncio</t>
  </si>
  <si>
    <t>Imagen principal (P1_MAIN)</t>
  </si>
  <si>
    <t>Claridad, transparencia y valor real. Mostrar con honestidad qué incluye el lote gourmet.</t>
  </si>
  <si>
    <t>Tranquilidad y deseo de posesión. Confianza en lo que se compra.</t>
  </si>
  <si>
    <t>No (pero dejar espacio limpio para posible texto).</t>
  </si>
  <si>
    <t>Imagen principal en Amazon / ficha de producto.</t>
  </si>
  <si>
    <t>AOVE + Vino “Sensaciones” (P1_USP)</t>
  </si>
  <si>
    <t>Dualidad sensorial: equilibrio entre pasión (vino) y pureza (AOVE). Producto con alma y carácter.</t>
  </si>
  <si>
    <t>Deseo aspiracional. Sensación de elegancia y placer sofisticado.</t>
  </si>
  <si>
    <t>Sí, breve y emocional. Ej.: “Porque hay vinos que se sienten.”</t>
  </si>
  <si>
    <t>Imagen de valor diferencial o emocional.</t>
  </si>
  <si>
    <t>“Comparte momentos llenos de sabor” (P1_USE)</t>
  </si>
  <si>
    <t>El producto en uso: untar, compartir, disfrutar. Mostrar conexión humana y placer cotidiano.</t>
  </si>
  <si>
    <t>Alegría tranquila y calidez. Momentos compartidos y reales.</t>
  </si>
  <si>
    <t>Sí, positivo y cercano. Ej.: “Comparte momentos llenos de sabor.”</t>
  </si>
  <si>
    <t>Imagen de experiencia / conexión emocional.</t>
  </si>
  <si>
    <t>“Cerro Negro, la esencia pura del ibérico” (P1_DET)</t>
  </si>
  <si>
    <t>Destacar calidad y tradición. Producto estrella. Transmitir orgullo artesanal y autenticidad.</t>
  </si>
  <si>
    <t>Admiración y recompensa. “Me merezco este placer.”</t>
  </si>
  <si>
    <t>Sí, corto y evocador. Ej.: “La esencia pura del ibérico.”</t>
  </si>
  <si>
    <t>Imagen de producto protagonista / detalle gourmet.</t>
  </si>
  <si>
    <t>Infografía saludable AOVE + Jamón (P1_USP-Salud)</t>
  </si>
  <si>
    <t>Mostrar beneficios saludables y equilibrio entre placer y bienestar.</t>
  </si>
  <si>
    <t>Confianza racional y satisfacción post-deseo.</t>
  </si>
  <si>
    <t>Sí, informativo. Ej.: “El AOVE, un tesoro mediterráneo…”</t>
  </si>
  <si>
    <t>Imagen educativa / argumentativa. Refuerza valor percibido.</t>
  </si>
  <si>
    <t>Lifestyle navideña (P1_LIFESTYLE)</t>
  </si>
  <si>
    <t>Celebración, unión y regalo compartido. Escena cálida y realista de disfrute en casa.</t>
  </si>
  <si>
    <t>Felicidad compartida, nostalgia y conexión humana.</t>
  </si>
  <si>
    <t>Opcional. Ej.: “Regala sabor, regala momentos.”</t>
  </si>
  <si>
    <t>Imagen aspiracional / hero image de campaña.</t>
  </si>
  <si>
    <t>Campaña “¡Navidad sin estrés!” (P1_CAMPAÑA)</t>
  </si>
  <si>
    <t>Solución al estrés navideño. Regalo perfecto, fácil, listo y con estilo.</t>
  </si>
  <si>
    <t>Alivio, alegría y decisión de compra inmediata.</t>
  </si>
  <si>
    <t>Sí, directo y claro. Ej.: “¡Navidad sin estrés!”</t>
  </si>
  <si>
    <t>Imagen de portada o anuncio publicitario principal.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</si>
</sst>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
    <numFmt numFmtId="165" formatCode="dd/mm/yyyy"/>
    <numFmt numFmtId="166" formatCode="d/MM/yyyy"/>
    <numFmt numFmtId="167" formatCode="0.0"/>
  </numFmts>
  <fonts count="11">
    <font>
      <sz val="10.0"/>
      <color rgb="FF000000"/>
      <name val="Arial"/>
      <scheme val="minor"/>
    </font>
    <font>
      <b/>
      <color theme="1"/>
      <name val="Arial"/>
      <scheme val="minor"/>
    </font>
    <font>
      <b/>
      <sz val="10.0"/>
      <color theme="1"/>
      <name val="Arial"/>
      <scheme val="minor"/>
    </font>
    <font>
      <color theme="1"/>
      <name val="Arial"/>
      <scheme val="minor"/>
    </font>
    <font>
      <b/>
      <sz val="21.0"/>
      <color theme="1"/>
      <name val="Arial"/>
      <scheme val="minor"/>
    </font>
    <font>
      <b/>
      <sz val="18.0"/>
      <color theme="1"/>
      <name val="Arial"/>
      <scheme val="minor"/>
    </font>
    <font>
      <sz val="12.0"/>
      <color theme="1"/>
      <name val="Arial"/>
      <scheme val="minor"/>
    </font>
    <font>
      <sz val="12.0"/>
      <color theme="1"/>
      <name val="Aptos"/>
    </font>
    <font>
      <color rgb="FF434343"/>
      <name val="Roboto"/>
    </font>
    <font>
      <color rgb="FFFFFFFF"/>
      <name val="Arial"/>
      <scheme val="minor"/>
    </font>
    <font>
      <color rgb="FFFF0000"/>
      <name val="Arial"/>
      <scheme val="minor"/>
    </font>
  </fonts>
  <fills count="14">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theme="0"/>
        <bgColor theme="0"/>
      </patternFill>
    </fill>
    <fill>
      <patternFill patternType="solid">
        <fgColor rgb="FFD9D9D9"/>
        <bgColor rgb="FFD9D9D9"/>
      </patternFill>
    </fill>
    <fill>
      <patternFill patternType="solid">
        <fgColor theme="9"/>
        <bgColor theme="9"/>
      </patternFill>
    </fill>
    <fill>
      <patternFill patternType="solid">
        <fgColor rgb="FFFFFF00"/>
        <bgColor rgb="FFFFFF00"/>
      </patternFill>
    </fill>
    <fill>
      <patternFill patternType="solid">
        <fgColor rgb="FF6AA84F"/>
        <bgColor rgb="FF6AA84F"/>
      </patternFill>
    </fill>
    <fill>
      <patternFill patternType="solid">
        <fgColor rgb="FF674EA7"/>
        <bgColor rgb="FF674EA7"/>
      </patternFill>
    </fill>
    <fill>
      <patternFill patternType="solid">
        <fgColor rgb="FFCC0000"/>
        <bgColor rgb="FFCC0000"/>
      </patternFill>
    </fill>
    <fill>
      <patternFill patternType="solid">
        <fgColor rgb="FF76A5AF"/>
        <bgColor rgb="FF76A5AF"/>
      </patternFill>
    </fill>
    <fill>
      <patternFill patternType="solid">
        <fgColor rgb="FFF1C232"/>
        <bgColor rgb="FFF1C232"/>
      </patternFill>
    </fill>
  </fills>
  <borders count="1">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3" numFmtId="164" xfId="0" applyAlignment="1" applyFont="1" applyNumberFormat="1">
      <alignment readingOrder="0"/>
    </xf>
    <xf borderId="0" fillId="0" fontId="3" numFmtId="165" xfId="0" applyAlignment="1" applyFont="1" applyNumberFormat="1">
      <alignment readingOrder="0"/>
    </xf>
    <xf borderId="0" fillId="2" fontId="7" numFmtId="0" xfId="0" applyAlignment="1" applyFill="1" applyFont="1">
      <alignment readingOrder="0"/>
    </xf>
    <xf borderId="0" fillId="0" fontId="3" numFmtId="0" xfId="0" applyAlignment="1" applyFont="1">
      <alignment horizontal="left" readingOrder="0" shrinkToFit="0" vertical="center" wrapText="0"/>
    </xf>
    <xf borderId="0" fillId="2" fontId="3" numFmtId="0" xfId="0" applyAlignment="1" applyFont="1">
      <alignment readingOrder="0" shrinkToFit="0" vertical="center" wrapText="0"/>
    </xf>
    <xf borderId="0" fillId="2" fontId="3" numFmtId="0" xfId="0" applyAlignment="1" applyFont="1">
      <alignment shrinkToFit="0" vertical="center" wrapText="0"/>
    </xf>
    <xf borderId="0" fillId="2" fontId="3" numFmtId="1" xfId="0" applyAlignment="1" applyFont="1" applyNumberFormat="1">
      <alignment readingOrder="0" shrinkToFit="0" vertical="center" wrapText="0"/>
    </xf>
    <xf borderId="0" fillId="3" fontId="3" numFmtId="0" xfId="0" applyAlignment="1" applyFill="1" applyFont="1">
      <alignment readingOrder="0" shrinkToFit="0" vertical="center" wrapText="0"/>
    </xf>
    <xf borderId="0" fillId="3" fontId="3" numFmtId="0" xfId="0" applyAlignment="1" applyFont="1">
      <alignment shrinkToFit="0" vertical="center" wrapText="0"/>
    </xf>
    <xf borderId="0" fillId="3" fontId="3" numFmtId="1" xfId="0" applyAlignment="1" applyFont="1" applyNumberFormat="1">
      <alignment readingOrder="0" shrinkToFit="0" vertical="center" wrapText="0"/>
    </xf>
    <xf borderId="0" fillId="4" fontId="3" numFmtId="0" xfId="0" applyAlignment="1" applyFill="1" applyFont="1">
      <alignment readingOrder="0" shrinkToFit="0" vertical="center" wrapText="0"/>
    </xf>
    <xf borderId="0" fillId="4" fontId="3" numFmtId="0" xfId="0" applyAlignment="1" applyFont="1">
      <alignment shrinkToFit="0" vertical="center" wrapText="0"/>
    </xf>
    <xf borderId="0" fillId="4" fontId="3" numFmtId="1" xfId="0" applyAlignment="1" applyFont="1" applyNumberFormat="1">
      <alignment readingOrder="0" shrinkToFit="0" vertical="center" wrapText="0"/>
    </xf>
    <xf borderId="0" fillId="5" fontId="3" numFmtId="0" xfId="0" applyAlignment="1" applyFill="1" applyFont="1">
      <alignment readingOrder="0" shrinkToFit="0" vertical="center" wrapText="0"/>
    </xf>
    <xf borderId="0" fillId="5" fontId="3" numFmtId="0" xfId="0" applyAlignment="1" applyFont="1">
      <alignment shrinkToFit="0" vertical="center" wrapText="0"/>
    </xf>
    <xf borderId="0" fillId="5" fontId="3" numFmtId="1" xfId="0" applyAlignment="1" applyFont="1" applyNumberFormat="1">
      <alignment readingOrder="0" shrinkToFit="0" vertical="center" wrapText="0"/>
    </xf>
    <xf borderId="0" fillId="6" fontId="3" numFmtId="0" xfId="0" applyAlignment="1" applyFill="1" applyFont="1">
      <alignment readingOrder="0" shrinkToFit="0" vertical="center" wrapText="0"/>
    </xf>
    <xf borderId="0" fillId="6" fontId="8" numFmtId="0" xfId="0" applyAlignment="1" applyFont="1">
      <alignment shrinkToFit="0" vertical="center" wrapText="0"/>
    </xf>
    <xf borderId="0" fillId="6" fontId="3" numFmtId="0" xfId="0" applyAlignment="1" applyFont="1">
      <alignment shrinkToFit="0" vertical="center" wrapText="0"/>
    </xf>
    <xf borderId="0" fillId="6" fontId="3" numFmtId="1" xfId="0" applyAlignment="1" applyFont="1" applyNumberFormat="1">
      <alignment readingOrder="0" shrinkToFit="0" vertical="center" wrapText="0"/>
    </xf>
    <xf borderId="0" fillId="6" fontId="8" numFmtId="0" xfId="0" applyAlignment="1" applyFont="1">
      <alignment readingOrder="0" shrinkToFit="0" vertical="center" wrapText="0"/>
    </xf>
    <xf borderId="0" fillId="4" fontId="3" numFmtId="0" xfId="0" applyAlignment="1" applyFont="1">
      <alignment shrinkToFit="0" vertical="center" wrapText="0"/>
    </xf>
    <xf borderId="0" fillId="4" fontId="3" numFmtId="1" xfId="0" applyAlignment="1" applyFont="1" applyNumberFormat="1">
      <alignment shrinkToFit="0" vertical="center" wrapText="0"/>
    </xf>
    <xf borderId="0" fillId="2" fontId="3" numFmtId="0" xfId="0" applyAlignment="1" applyFont="1">
      <alignment shrinkToFit="0" vertical="center" wrapText="0"/>
    </xf>
    <xf borderId="0" fillId="2" fontId="3" numFmtId="1" xfId="0" applyAlignment="1" applyFont="1" applyNumberFormat="1">
      <alignment shrinkToFit="0" vertical="center" wrapText="0"/>
    </xf>
    <xf borderId="0" fillId="0" fontId="3" numFmtId="49" xfId="0" applyAlignment="1" applyFont="1" applyNumberFormat="1">
      <alignment horizontal="left" readingOrder="0" shrinkToFit="0" vertical="center" wrapText="0"/>
    </xf>
    <xf borderId="0" fillId="0" fontId="3" numFmtId="166"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3"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3" numFmtId="3" xfId="0" applyAlignment="1" applyFont="1" applyNumberFormat="1">
      <alignment readingOrder="0" shrinkToFit="0" vertical="center" wrapText="0"/>
    </xf>
    <xf borderId="0" fillId="0" fontId="3" numFmtId="166"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2" xfId="0" applyFont="1" applyNumberFormat="1"/>
    <xf borderId="0" fillId="7" fontId="3" numFmtId="0" xfId="0" applyAlignment="1" applyFill="1" applyFont="1">
      <alignment horizontal="left"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8" fontId="3" numFmtId="0" xfId="0" applyFill="1" applyFont="1"/>
    <xf borderId="0" fillId="0" fontId="3" numFmtId="2" xfId="0" applyAlignment="1" applyFont="1" applyNumberFormat="1">
      <alignment readingOrder="0" shrinkToFit="0" vertical="center" wrapText="0"/>
    </xf>
    <xf borderId="0" fillId="0" fontId="3" numFmtId="0" xfId="0" applyAlignment="1" applyFont="1">
      <alignment readingOrder="0" shrinkToFit="0" vertical="center" wrapText="0"/>
    </xf>
    <xf borderId="0" fillId="9" fontId="3" numFmtId="0" xfId="0" applyAlignment="1" applyFill="1" applyFont="1">
      <alignment horizontal="center" readingOrder="0"/>
    </xf>
    <xf borderId="0" fillId="9" fontId="3" numFmtId="0" xfId="0" applyFont="1"/>
    <xf borderId="0" fillId="10" fontId="9" numFmtId="0" xfId="0" applyAlignment="1" applyFill="1" applyFont="1">
      <alignment horizontal="center" readingOrder="0"/>
    </xf>
    <xf borderId="0" fillId="0" fontId="3" numFmtId="2" xfId="0" applyAlignment="1" applyFont="1" applyNumberFormat="1">
      <alignment shrinkToFit="0" vertical="center" wrapText="0"/>
    </xf>
    <xf borderId="0" fillId="10" fontId="3" numFmtId="0" xfId="0" applyFont="1"/>
    <xf borderId="0" fillId="11" fontId="3" numFmtId="0" xfId="0" applyAlignment="1" applyFill="1" applyFont="1">
      <alignment horizontal="center" readingOrder="0"/>
    </xf>
    <xf borderId="0" fillId="11" fontId="3" numFmtId="0" xfId="0" applyFont="1"/>
    <xf borderId="0" fillId="12" fontId="9" numFmtId="0" xfId="0" applyAlignment="1" applyFill="1" applyFont="1">
      <alignment horizontal="center" readingOrder="0"/>
    </xf>
    <xf borderId="0" fillId="12" fontId="3" numFmtId="0" xfId="0" applyFont="1"/>
    <xf borderId="0" fillId="0" fontId="3" numFmtId="9" xfId="0" applyAlignment="1" applyFont="1" applyNumberFormat="1">
      <alignment readingOrder="0"/>
    </xf>
    <xf borderId="0" fillId="0" fontId="3" numFmtId="0" xfId="0" applyAlignment="1" applyFont="1">
      <alignment readingOrder="0"/>
    </xf>
    <xf borderId="0" fillId="0" fontId="3" numFmtId="0" xfId="0" applyFont="1"/>
    <xf borderId="0" fillId="0" fontId="3" numFmtId="2" xfId="0" applyAlignment="1" applyFont="1" applyNumberFormat="1">
      <alignment readingOrder="0"/>
    </xf>
    <xf borderId="0" fillId="0" fontId="3" numFmtId="0" xfId="0" applyAlignment="1" applyFont="1">
      <alignment readingOrder="0"/>
    </xf>
    <xf borderId="0" fillId="13" fontId="9" numFmtId="0" xfId="0" applyAlignment="1" applyFill="1" applyFont="1">
      <alignment horizontal="center" readingOrder="0"/>
    </xf>
    <xf borderId="0" fillId="13" fontId="3" numFmtId="0" xfId="0" applyFont="1"/>
    <xf borderId="0" fillId="4" fontId="3" numFmtId="0" xfId="0" applyAlignment="1" applyFont="1">
      <alignment horizontal="center" readingOrder="0"/>
    </xf>
    <xf borderId="0" fillId="4" fontId="3" numFmtId="0" xfId="0" applyFont="1"/>
    <xf borderId="0" fillId="0" fontId="3" numFmtId="2" xfId="0" applyAlignment="1" applyFont="1" applyNumberFormat="1">
      <alignment shrinkToFit="0" vertical="center" wrapText="0"/>
    </xf>
    <xf borderId="0" fillId="2" fontId="3" numFmtId="0" xfId="0" applyAlignment="1" applyFont="1">
      <alignment readingOrder="0"/>
    </xf>
    <xf borderId="0" fillId="0" fontId="3" numFmtId="0" xfId="0" applyAlignment="1" applyFont="1">
      <alignment horizontal="right"/>
    </xf>
    <xf borderId="0" fillId="0" fontId="3" numFmtId="0" xfId="0" applyAlignment="1" applyFont="1">
      <alignment horizontal="right" readingOrder="0" shrinkToFit="0" vertical="center" wrapText="0"/>
    </xf>
    <xf borderId="0" fillId="0" fontId="3" numFmtId="49" xfId="0" applyAlignment="1" applyFont="1" applyNumberFormat="1">
      <alignment horizontal="left" readingOrder="0" shrinkToFit="0" vertical="center" wrapText="0"/>
    </xf>
    <xf borderId="0" fillId="5" fontId="3" numFmtId="0" xfId="0" applyAlignment="1" applyFont="1">
      <alignment readingOrder="0"/>
    </xf>
    <xf borderId="0" fillId="0" fontId="3" numFmtId="0" xfId="0" applyAlignment="1" applyFont="1">
      <alignment horizontal="right"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right" readingOrder="0" shrinkToFit="0" vertical="center" wrapText="0"/>
    </xf>
    <xf borderId="0" fillId="8" fontId="3" numFmtId="0" xfId="0" applyAlignment="1" applyFont="1">
      <alignment readingOrder="0"/>
    </xf>
    <xf borderId="0" fillId="0" fontId="3" numFmtId="0" xfId="0" applyAlignment="1" applyFont="1">
      <alignment horizontal="center" readingOrder="0"/>
    </xf>
    <xf borderId="0" fillId="0" fontId="3" numFmtId="0" xfId="0" applyAlignment="1" applyFont="1">
      <alignment horizontal="center" readingOrder="0"/>
    </xf>
    <xf borderId="0" fillId="0" fontId="3" numFmtId="1" xfId="0" applyAlignment="1" applyFont="1" applyNumberFormat="1">
      <alignment horizontal="right" readingOrder="0"/>
    </xf>
    <xf borderId="0" fillId="0" fontId="3" numFmtId="1" xfId="0" applyFont="1" applyNumberFormat="1"/>
    <xf borderId="0" fillId="0" fontId="3" numFmtId="0" xfId="0" applyFont="1"/>
    <xf borderId="0" fillId="0" fontId="3" numFmtId="1" xfId="0" applyAlignment="1" applyFont="1" applyNumberFormat="1">
      <alignment readingOrder="0"/>
    </xf>
    <xf borderId="0" fillId="0" fontId="3" numFmtId="2" xfId="0" applyAlignment="1" applyFont="1" applyNumberFormat="1">
      <alignment readingOrder="0"/>
    </xf>
    <xf borderId="0" fillId="0" fontId="3" numFmtId="4" xfId="0" applyAlignment="1" applyFont="1" applyNumberFormat="1">
      <alignment readingOrder="0"/>
    </xf>
    <xf borderId="0" fillId="0" fontId="3" numFmtId="167" xfId="0" applyFont="1" applyNumberFormat="1"/>
    <xf borderId="0" fillId="8" fontId="10" numFmtId="0" xfId="0" applyAlignment="1" applyFont="1">
      <alignment horizontal="center" readingOrder="0"/>
    </xf>
    <xf borderId="0" fillId="0" fontId="3" numFmtId="167" xfId="0" applyAlignment="1" applyFont="1" applyNumberFormat="1">
      <alignment readingOrder="0"/>
    </xf>
    <xf borderId="0" fillId="0" fontId="3" numFmtId="167" xfId="0" applyAlignment="1" applyFont="1" applyNumberFormat="1">
      <alignment readingOrder="0"/>
    </xf>
    <xf borderId="0" fillId="0" fontId="3" numFmtId="167" xfId="0" applyFont="1" applyNumberFormat="1"/>
    <xf borderId="0" fillId="0" fontId="1" numFmtId="0" xfId="0" applyAlignment="1" applyFont="1">
      <alignment horizontal="center" readingOrder="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
      <font>
        <b/>
        <color rgb="FFFFFFFF"/>
      </font>
      <fill>
        <patternFill patternType="solid">
          <fgColor rgb="FFFF0000"/>
          <bgColor rgb="FFFF0000"/>
        </patternFill>
      </fill>
      <border/>
    </dxf>
    <dxf>
      <font>
        <color rgb="FFFFFFFF"/>
      </font>
      <fill>
        <patternFill patternType="solid">
          <fgColor rgb="FFFF0000"/>
          <bgColor rgb="FFFF0000"/>
        </patternFill>
      </fill>
      <border/>
    </dxf>
  </dxfs>
  <tableStyles count="14">
    <tableStyle count="4" pivot="0" name="Recetas-style">
      <tableStyleElement dxfId="1" type="headerRow"/>
      <tableStyleElement dxfId="2" type="firstRowStripe"/>
      <tableStyleElement dxfId="3" type="secondRowStripe"/>
      <tableStyleElement dxfId="4" size="0" type="wholeTable"/>
    </tableStyle>
    <tableStyle count="4" pivot="0" name="Entradas materia prima-style">
      <tableStyleElement dxfId="1" type="headerRow"/>
      <tableStyleElement dxfId="2" type="firstRowStripe"/>
      <tableStyleElement dxfId="3" type="secondRowStripe"/>
      <tableStyleElement dxfId="4" size="0" type="wholeTable"/>
    </tableStyle>
    <tableStyle count="4" pivot="0" name="Materia Prima - Inventario-style">
      <tableStyleElement dxfId="1" type="headerRow"/>
      <tableStyleElement dxfId="2" type="firstRowStripe"/>
      <tableStyleElement dxfId="3" type="secondRowStripe"/>
      <tableStyleElement dxfId="4" size="0" type="wholeTable"/>
    </tableStyle>
    <tableStyle count="2" pivot="0" name="Materia Prima - Inventario-style 2">
      <tableStyleElement dxfId="3" type="firstRowStripe"/>
      <tableStyleElement dxfId="2" type="secondRowStripe"/>
    </tableStyle>
    <tableStyle count="4" pivot="0" name="Entradas producto terminado-style">
      <tableStyleElement dxfId="1" type="headerRow"/>
      <tableStyleElement dxfId="2" type="firstRowStripe"/>
      <tableStyleElement dxfId="3" type="secondRowStripe"/>
      <tableStyleElement dxfId="4" size="0" type="wholeTable"/>
    </tableStyle>
    <tableStyle count="2" pivot="0" name="Entradas producto terminado-style 2">
      <tableStyleElement dxfId="2" type="firstRowStripe"/>
      <tableStyleElement dxfId="3" type="secondRowStripe"/>
    </tableStyle>
    <tableStyle count="4" pivot="0" name="Producto terminado-style">
      <tableStyleElement dxfId="1" type="headerRow"/>
      <tableStyleElement dxfId="2" type="firstRowStripe"/>
      <tableStyleElement dxfId="3" type="secondRowStripe"/>
      <tableStyleElement dxfId="4" size="0" type="wholeTable"/>
    </tableStyle>
    <tableStyle count="2" pivot="0" name="Producto terminado-style 2">
      <tableStyleElement dxfId="2" type="firstRowStripe"/>
      <tableStyleElement dxfId="3" type="secondRowStripe"/>
    </tableStyle>
    <tableStyle count="2" pivot="0" name="Producto terminado-style 3">
      <tableStyleElement dxfId="2" type="firstRowStripe"/>
      <tableStyleElement dxfId="3" type="secondRowStripe"/>
    </tableStyle>
    <tableStyle count="4" pivot="0" name="Envios producto terminado-style">
      <tableStyleElement dxfId="1" type="headerRow"/>
      <tableStyleElement dxfId="2" type="firstRowStripe"/>
      <tableStyleElement dxfId="3" type="secondRowStripe"/>
      <tableStyleElement dxfId="4" size="0" type="wholeTable"/>
    </tableStyle>
    <tableStyle count="2" pivot="0" name="Envios producto terminado-style 2">
      <tableStyleElement dxfId="2" type="firstRowStripe"/>
      <tableStyleElement dxfId="3" type="secondRowStripe"/>
    </tableStyle>
    <tableStyle count="2" pivot="0" name="Tiempos rodri -style">
      <tableStyleElement dxfId="2" type="firstRowStripe"/>
      <tableStyleElement dxfId="3" type="secondRowStripe"/>
    </tableStyle>
    <tableStyle count="2" pivot="0" name="Tiempos Lucia-style">
      <tableStyleElement dxfId="2" type="firstRowStripe"/>
      <tableStyleElement dxfId="3" type="secondRowStripe"/>
    </tableStyle>
    <tableStyle count="2" pivot="0" name="Tiempos Araceli-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Álvaro Ojeda" id="{ea3a6448-1c16-4b30-84a4-4f7eb54fff2c}" providerId="google-sheets"/>
</x18tc:personList>
</file>

<file path=xl/tables/table1.xml><?xml version="1.0" encoding="utf-8"?>
<table xmlns="http://schemas.openxmlformats.org/spreadsheetml/2006/main" ref="B2:F201" displayName="Recetas" name="Recetas" id="1">
  <autoFilter ref="$B$2:$F$201"/>
  <tableColumns count="5">
    <tableColumn name="Item" id="1"/>
    <tableColumn name="Producto" id="2"/>
    <tableColumn name="Materia Prima" id="3"/>
    <tableColumn name="Medida" id="4"/>
    <tableColumn name="Cantidad" id="5"/>
  </tableColumns>
  <tableStyleInfo name="Recetas-style" showColumnStripes="0" showFirstColumn="1" showLastColumn="1" showRowStripes="1"/>
</table>
</file>

<file path=xl/tables/table2.xml><?xml version="1.0" encoding="utf-8"?>
<table xmlns="http://schemas.openxmlformats.org/spreadsheetml/2006/main" ref="B2:F467" displayName="Compras" name="Compras" id="2">
  <autoFilter ref="$B$2:$F$467"/>
  <tableColumns count="5">
    <tableColumn name="Fecha" id="1"/>
    <tableColumn name="Seleccion" id="2"/>
    <tableColumn name="Materia Prima" id="3"/>
    <tableColumn name="Medida" id="4"/>
    <tableColumn name="Cantidad" id="5"/>
  </tableColumns>
  <tableStyleInfo name="Entradas materia prima-style" showColumnStripes="0" showFirstColumn="1" showLastColumn="1" showRowStripes="1"/>
</table>
</file>

<file path=xl/tables/table3.xml><?xml version="1.0" encoding="utf-8"?>
<table xmlns="http://schemas.openxmlformats.org/spreadsheetml/2006/main" ref="B2:K81" displayName="Materia_Prima" name="Materia_Prima" id="3">
  <tableColumns count="10">
    <tableColumn name="Materia prima" id="1"/>
    <tableColumn name="Medida" id="2"/>
    <tableColumn name="Alerta" id="3"/>
    <tableColumn name="Stock" id="4"/>
    <tableColumn name="Entradas" id="5"/>
    <tableColumn name="Salidas" id="6"/>
    <tableColumn name="Peso" id="7"/>
    <tableColumn name="Medida2" id="8"/>
    <tableColumn name="Volumen" id="9"/>
    <tableColumn name="Medida3" id="10"/>
  </tableColumns>
  <tableStyleInfo name="Materia Prima - Inventario-style" showColumnStripes="0" showFirstColumn="1" showLastColumn="1" showRowStripes="1"/>
</table>
</file>

<file path=xl/tables/table4.xml><?xml version="1.0" encoding="utf-8"?>
<table xmlns="http://schemas.openxmlformats.org/spreadsheetml/2006/main" headerRowCount="0" ref="N55:T55" displayName="Table_1" name="Table_1" id="4">
  <tableColumns count="7">
    <tableColumn name="Column1" id="1"/>
    <tableColumn name="Column2" id="2"/>
    <tableColumn name="Column3" id="3"/>
    <tableColumn name="Column4" id="4"/>
    <tableColumn name="Column5" id="5"/>
    <tableColumn name="Column6" id="6"/>
    <tableColumn name="Column7" id="7"/>
  </tableColumns>
  <tableStyleInfo name="Materia Prima - Inventario-style 2" showColumnStripes="0" showFirstColumn="1" showLastColumn="1" showRowStripes="1"/>
</table>
</file>

<file path=xl/tables/table5.xml><?xml version="1.0" encoding="utf-8"?>
<table xmlns="http://schemas.openxmlformats.org/spreadsheetml/2006/main" ref="B2:E328" displayName="Ventas" name="Ventas" id="5">
  <autoFilter ref="$B$2:$E$328"/>
  <tableColumns count="4">
    <tableColumn name="Fecha" id="1"/>
    <tableColumn name="Codigo" id="2"/>
    <tableColumn name="Producto" id="3"/>
    <tableColumn name="Cantidad" id="4"/>
  </tableColumns>
  <tableStyleInfo name="Entradas producto terminado-style" showColumnStripes="0" showFirstColumn="1" showLastColumn="1" showRowStripes="1"/>
</table>
</file>

<file path=xl/tables/table6.xml><?xml version="1.0" encoding="utf-8"?>
<table xmlns="http://schemas.openxmlformats.org/spreadsheetml/2006/main" headerRowCount="0" ref="G3:G21" displayName="Table_2" name="Table_2" id="6">
  <tableColumns count="1">
    <tableColumn name="Column1" id="1"/>
  </tableColumns>
  <tableStyleInfo name="Entradas producto terminado-style 2" showColumnStripes="0" showFirstColumn="1" showLastColumn="1" showRowStripes="1"/>
</table>
</file>

<file path=xl/tables/table7.xml><?xml version="1.0" encoding="utf-8"?>
<table xmlns="http://schemas.openxmlformats.org/spreadsheetml/2006/main" ref="B2:M42" displayName="Productos" name="Productos" id="7">
  <tableColumns count="12">
    <tableColumn name="Producto" id="1"/>
    <tableColumn name="Codigo" id="2"/>
    <tableColumn name="Alerta" id="3"/>
    <tableColumn name="Stock" id="4"/>
    <tableColumn name="Entradas" id="5"/>
    <tableColumn name="Salidas" id="6"/>
    <tableColumn name="Peso" id="7"/>
    <tableColumn name="Medida3" id="8"/>
    <tableColumn name="Unidades/caja blister" id="9"/>
    <tableColumn name="Kg/caja blister" id="10"/>
    <tableColumn name="Unidades/caja 60cm" id="11"/>
    <tableColumn name="Kg/caja 60cm" id="12"/>
  </tableColumns>
  <tableStyleInfo name="Producto terminado-style" showColumnStripes="0" showFirstColumn="1" showLastColumn="1" showRowStripes="1"/>
</table>
</file>

<file path=xl/tables/table8.xml><?xml version="1.0" encoding="utf-8"?>
<table xmlns="http://schemas.openxmlformats.org/spreadsheetml/2006/main" headerRowCount="0" ref="I44:I78" displayName="Table_3" name="Table_3" id="8">
  <tableColumns count="1">
    <tableColumn name="Column1" id="1"/>
  </tableColumns>
  <tableStyleInfo name="Producto terminado-style 2" showColumnStripes="0" showFirstColumn="1" showLastColumn="1" showRowStripes="1"/>
</table>
</file>

<file path=xl/tables/table9.xml><?xml version="1.0" encoding="utf-8"?>
<table xmlns="http://schemas.openxmlformats.org/spreadsheetml/2006/main" headerRowCount="0" ref="J44:M78" displayName="Table_4" name="Table_4" id="9">
  <tableColumns count="4">
    <tableColumn name="Column1" id="1"/>
    <tableColumn name="Column2" id="2"/>
    <tableColumn name="Column3" id="3"/>
    <tableColumn name="Column4" id="4"/>
  </tableColumns>
  <tableStyleInfo name="Producto terminado-style 3" showColumnStripes="0" showFirstColumn="1" showLastColumn="1" showRowStripes="1"/>
</table>
</file>

<file path=xl/tables/table10.xml><?xml version="1.0" encoding="utf-8"?>
<table xmlns="http://schemas.openxmlformats.org/spreadsheetml/2006/main" ref="B2:E416" displayName="Envios" name="Envios" id="10">
  <autoFilter ref="$B$2:$E$416"/>
  <tableColumns count="4">
    <tableColumn name="Fecha" id="1"/>
    <tableColumn name="Codigo" id="2"/>
    <tableColumn name="Producto" id="3"/>
    <tableColumn name="Cantidad" id="4"/>
  </tableColumns>
  <tableStyleInfo name="Envios producto terminado-style" showColumnStripes="0" showFirstColumn="1" showLastColumn="1" showRowStripes="1"/>
</table>
</file>

<file path=xl/tables/table11.xml><?xml version="1.0" encoding="utf-8"?>
<table xmlns="http://schemas.openxmlformats.org/spreadsheetml/2006/main" headerRowCount="0" ref="H3:H23" displayName="Table_5" name="Table_5" id="11">
  <tableColumns count="1">
    <tableColumn name="Column1" id="1"/>
  </tableColumns>
  <tableStyleInfo name="Envios producto terminado-style 2" showColumnStripes="0" showFirstColumn="1" showLastColumn="1" showRowStripes="1"/>
</table>
</file>

<file path=xl/tables/table12.xml><?xml version="1.0" encoding="utf-8"?>
<table xmlns="http://schemas.openxmlformats.org/spreadsheetml/2006/main" headerRowCount="0" ref="B2:R39" displayName="Table_6" name="Table_6" id="12">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Tiempos rodri -style" showColumnStripes="0" showFirstColumn="1" showLastColumn="1" showRowStripes="1"/>
</table>
</file>

<file path=xl/tables/table13.xml><?xml version="1.0" encoding="utf-8"?>
<table xmlns="http://schemas.openxmlformats.org/spreadsheetml/2006/main" headerRowCount="0" ref="B2:R35" displayName="Table_7" name="Table_7" id="13">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Tiempos Lucia-style" showColumnStripes="0" showFirstColumn="1" showLastColumn="1" showRowStripes="1"/>
</table>
</file>

<file path=xl/tables/table14.xml><?xml version="1.0" encoding="utf-8"?>
<table xmlns="http://schemas.openxmlformats.org/spreadsheetml/2006/main" headerRowCount="0" ref="B2:R36" displayName="Table_8" name="Table_8" id="14">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Tiempos Aracel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5-02-25T12:49:47.00" personId="{ea3a6448-1c16-4b30-84a4-4f7eb54fff2c}" id="{575f679b-ae93-47d4-9c3a-3fc462172752}" done="1">
    <x18tc:text xml:space="preserve">Factura Customica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3.xml"/><Relationship Id="rId5"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5.xml"/><Relationship Id="rId5"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 Id="rId9" Type="http://schemas.openxmlformats.org/officeDocument/2006/relationships/table" Target="../tables/table9.xml"/><Relationship Id="rId7" Type="http://schemas.openxmlformats.org/officeDocument/2006/relationships/table" Target="../tables/table7.xml"/><Relationship Id="rId8"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0.xml"/><Relationship Id="rId5"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9.xml"/><Relationship Id="rId5"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0.xml"/><Relationship Id="rId3" Type="http://schemas.openxmlformats.org/officeDocument/2006/relationships/vmlDrawing" Target="../drawings/vmlDrawing3.vml"/><Relationship Id="rId5"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1.xml"/><Relationship Id="rId3" Type="http://schemas.openxmlformats.org/officeDocument/2006/relationships/vmlDrawing" Target="../drawings/vmlDrawing4.vml"/><Relationship Id="rId5"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2.xml"/><Relationship Id="rId3" Type="http://schemas.openxmlformats.org/officeDocument/2006/relationships/vmlDrawing" Target="../drawings/vmlDrawing5.vml"/><Relationship Id="rId5"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1" t="s">
        <v>0</v>
      </c>
      <c r="D1" s="2" t="s">
        <v>1</v>
      </c>
      <c r="E1" s="1" t="s">
        <v>2</v>
      </c>
      <c r="F1" s="1" t="s">
        <v>3</v>
      </c>
      <c r="G1" s="1" t="s">
        <v>4</v>
      </c>
    </row>
    <row r="3">
      <c r="A3" s="3" t="s">
        <v>5</v>
      </c>
      <c r="C3" s="3">
        <v>500.0</v>
      </c>
      <c r="D3" s="3">
        <v>300.0</v>
      </c>
      <c r="E3" s="3">
        <v>600.0</v>
      </c>
      <c r="F3" s="3">
        <v>730.0</v>
      </c>
      <c r="G3" s="3">
        <v>720.0</v>
      </c>
    </row>
    <row r="4">
      <c r="A4" s="3" t="s">
        <v>6</v>
      </c>
      <c r="C4" s="3">
        <v>250.0</v>
      </c>
      <c r="D4" s="3">
        <v>115.0</v>
      </c>
      <c r="E4" s="3">
        <v>350.0</v>
      </c>
      <c r="F4" s="3">
        <v>310.0</v>
      </c>
      <c r="G4" s="3">
        <v>385.0</v>
      </c>
    </row>
    <row r="5" ht="14.25" customHeight="1">
      <c r="A5" s="3" t="s">
        <v>7</v>
      </c>
      <c r="C5" s="3">
        <v>100.0</v>
      </c>
      <c r="D5" s="3">
        <v>50.0</v>
      </c>
      <c r="E5" s="3">
        <v>80.0</v>
      </c>
      <c r="F5" s="3">
        <v>130.0</v>
      </c>
      <c r="G5" s="3">
        <v>115.0</v>
      </c>
    </row>
    <row r="6" ht="29.25" customHeight="1">
      <c r="A6" s="3" t="s">
        <v>8</v>
      </c>
      <c r="C6" s="3">
        <v>200.0</v>
      </c>
      <c r="D6" s="3">
        <v>260.0</v>
      </c>
      <c r="E6" s="3">
        <v>400.0</v>
      </c>
      <c r="F6" s="3">
        <v>480.0</v>
      </c>
      <c r="G6" s="3">
        <v>550.0</v>
      </c>
    </row>
    <row r="7" ht="29.25" customHeight="1">
      <c r="A7" s="3" t="s">
        <v>9</v>
      </c>
      <c r="C7" s="3"/>
      <c r="D7" s="3"/>
      <c r="E7" s="3"/>
      <c r="F7" s="3">
        <v>150.0</v>
      </c>
      <c r="G7" s="3">
        <v>400.0</v>
      </c>
    </row>
    <row r="8">
      <c r="A8" s="3" t="s">
        <v>10</v>
      </c>
      <c r="C8" s="3">
        <v>50.0</v>
      </c>
      <c r="D8" s="3">
        <v>160.0</v>
      </c>
      <c r="E8" s="3">
        <v>300.0</v>
      </c>
      <c r="F8" s="3">
        <v>470.0</v>
      </c>
      <c r="G8" s="3">
        <v>515.0</v>
      </c>
    </row>
    <row r="9">
      <c r="A9" s="3" t="s">
        <v>11</v>
      </c>
      <c r="C9" s="3"/>
      <c r="D9" s="3"/>
      <c r="E9" s="3"/>
      <c r="F9" s="3"/>
      <c r="G9" s="3"/>
    </row>
    <row r="10">
      <c r="A10" s="3" t="s">
        <v>12</v>
      </c>
      <c r="C10" s="3">
        <v>75.0</v>
      </c>
      <c r="D10" s="3">
        <v>100.0</v>
      </c>
      <c r="E10" s="3">
        <v>100.0</v>
      </c>
      <c r="F10" s="3">
        <v>145.0</v>
      </c>
      <c r="G10" s="3">
        <v>213.0</v>
      </c>
    </row>
    <row r="11">
      <c r="A11" s="3" t="s">
        <v>13</v>
      </c>
      <c r="C11" s="3"/>
      <c r="D11" s="3"/>
      <c r="E11" s="3"/>
      <c r="F11" s="3">
        <v>40.0</v>
      </c>
      <c r="G11" s="3">
        <v>230.0</v>
      </c>
    </row>
    <row r="12">
      <c r="A12" s="3"/>
      <c r="C12" s="3"/>
      <c r="D12" s="3"/>
      <c r="E12" s="3"/>
    </row>
    <row r="13" ht="34.5" customHeight="1">
      <c r="A13" s="3" t="s">
        <v>14</v>
      </c>
      <c r="C13" s="3">
        <v>300.0</v>
      </c>
      <c r="D13" s="3">
        <v>285.0</v>
      </c>
      <c r="E13" s="3">
        <v>275.0</v>
      </c>
      <c r="F13" s="3">
        <v>330.0</v>
      </c>
      <c r="G13" s="3">
        <v>400.0</v>
      </c>
    </row>
    <row r="14">
      <c r="A14" s="3" t="s">
        <v>15</v>
      </c>
      <c r="C14" s="3">
        <v>220.0</v>
      </c>
      <c r="D14" s="3">
        <v>250.0</v>
      </c>
      <c r="E14" s="3">
        <v>235.0</v>
      </c>
      <c r="F14" s="3">
        <v>250.0</v>
      </c>
      <c r="G14" s="3">
        <v>250.0</v>
      </c>
    </row>
    <row r="15">
      <c r="A15" s="3" t="s">
        <v>16</v>
      </c>
      <c r="C15" s="3">
        <v>75.0</v>
      </c>
      <c r="D15" s="3">
        <v>75.0</v>
      </c>
      <c r="E15" s="3">
        <v>90.0</v>
      </c>
      <c r="F15" s="3">
        <v>70.0</v>
      </c>
      <c r="G15" s="3">
        <v>100.0</v>
      </c>
    </row>
    <row r="16">
      <c r="A16" s="3" t="s">
        <v>17</v>
      </c>
      <c r="C16" s="3">
        <v>75.0</v>
      </c>
      <c r="D16" s="3">
        <v>70.0</v>
      </c>
      <c r="E16" s="3">
        <v>70.0</v>
      </c>
      <c r="F16" s="3">
        <v>60.0</v>
      </c>
      <c r="G16" s="3">
        <v>85.0</v>
      </c>
    </row>
    <row r="17">
      <c r="A17" s="3" t="s">
        <v>18</v>
      </c>
      <c r="C17" s="3">
        <v>50.0</v>
      </c>
      <c r="D17" s="3">
        <v>60.0</v>
      </c>
      <c r="E17" s="3">
        <v>60.0</v>
      </c>
      <c r="F17" s="3">
        <v>40.0</v>
      </c>
      <c r="G17" s="3">
        <v>60.0</v>
      </c>
    </row>
    <row r="18">
      <c r="A18" s="3" t="s">
        <v>19</v>
      </c>
      <c r="C18" s="3"/>
      <c r="D18" s="3"/>
      <c r="E18" s="3"/>
      <c r="F18" s="3">
        <v>25.0</v>
      </c>
      <c r="G18" s="3">
        <v>30.0</v>
      </c>
    </row>
    <row r="19">
      <c r="A19" s="3" t="s">
        <v>20</v>
      </c>
      <c r="C19" s="3"/>
      <c r="D19" s="3"/>
      <c r="E19" s="3"/>
      <c r="F19" s="3">
        <v>10.0</v>
      </c>
      <c r="G19" s="3">
        <v>15.0</v>
      </c>
    </row>
    <row r="20">
      <c r="A20" s="3" t="s">
        <v>21</v>
      </c>
      <c r="C20" s="3"/>
      <c r="D20" s="3"/>
      <c r="E20" s="3"/>
      <c r="F20" s="3">
        <v>10.0</v>
      </c>
      <c r="G20" s="3">
        <v>20.0</v>
      </c>
    </row>
    <row r="21" ht="36.75" customHeight="1">
      <c r="A21" s="3" t="s">
        <v>22</v>
      </c>
      <c r="C21" s="3">
        <v>200.0</v>
      </c>
      <c r="D21" s="3">
        <v>170.0</v>
      </c>
      <c r="E21" s="3">
        <v>200.0</v>
      </c>
      <c r="F21" s="3">
        <v>265.0</v>
      </c>
      <c r="G21" s="3">
        <v>250.0</v>
      </c>
    </row>
    <row r="22">
      <c r="A22" s="3" t="s">
        <v>23</v>
      </c>
      <c r="C22" s="3">
        <v>75.0</v>
      </c>
      <c r="D22" s="3">
        <v>85.0</v>
      </c>
      <c r="E22" s="3">
        <v>85.0</v>
      </c>
      <c r="F22" s="3">
        <v>90.0</v>
      </c>
      <c r="G22" s="3">
        <v>55.0</v>
      </c>
    </row>
    <row r="23">
      <c r="A23" s="3" t="s">
        <v>24</v>
      </c>
      <c r="C23" s="3">
        <v>225.0</v>
      </c>
      <c r="D23" s="3">
        <v>260.0</v>
      </c>
      <c r="E23" s="3">
        <v>200.0</v>
      </c>
      <c r="F23" s="3">
        <v>300.0</v>
      </c>
      <c r="G23" s="3">
        <v>430.0</v>
      </c>
    </row>
    <row r="24">
      <c r="A24" s="3" t="s">
        <v>25</v>
      </c>
      <c r="C24" s="3">
        <v>50.0</v>
      </c>
      <c r="D24" s="3">
        <v>40.0</v>
      </c>
      <c r="E24" s="3">
        <v>60.0</v>
      </c>
      <c r="F24" s="3">
        <v>60.0</v>
      </c>
      <c r="G24" s="3">
        <v>80.0</v>
      </c>
    </row>
    <row r="25">
      <c r="A25" s="3"/>
      <c r="C25" s="3"/>
      <c r="D25" s="3"/>
      <c r="E25" s="3"/>
      <c r="F25" s="3"/>
    </row>
    <row r="26" ht="30.75" customHeight="1">
      <c r="A26" s="3" t="s">
        <v>26</v>
      </c>
      <c r="C26" s="3">
        <v>300.0</v>
      </c>
      <c r="D26" s="3">
        <v>240.0</v>
      </c>
      <c r="E26" s="3">
        <v>275.0</v>
      </c>
      <c r="F26" s="3">
        <v>175.0</v>
      </c>
      <c r="G26" s="3">
        <v>140.0</v>
      </c>
    </row>
    <row r="27">
      <c r="A27" s="3" t="s">
        <v>27</v>
      </c>
      <c r="C27" s="3">
        <v>125.0</v>
      </c>
      <c r="D27" s="3">
        <v>50.0</v>
      </c>
      <c r="E27" s="3">
        <v>25.0</v>
      </c>
      <c r="F27" s="3">
        <v>30.0</v>
      </c>
      <c r="G27" s="3">
        <v>20.0</v>
      </c>
    </row>
    <row r="28">
      <c r="A28" s="3" t="s">
        <v>28</v>
      </c>
      <c r="C28" s="3"/>
      <c r="D28" s="3"/>
      <c r="E28" s="3">
        <v>25.0</v>
      </c>
      <c r="F28" s="3">
        <v>25.0</v>
      </c>
      <c r="G28" s="3">
        <v>15.0</v>
      </c>
    </row>
    <row r="29">
      <c r="A29" s="3"/>
      <c r="C29" s="3"/>
      <c r="D29" s="3"/>
      <c r="E29" s="3"/>
      <c r="F29" s="3"/>
    </row>
    <row r="30">
      <c r="A30" s="3" t="s">
        <v>29</v>
      </c>
      <c r="C30" s="3">
        <v>50.0</v>
      </c>
      <c r="D30" s="3">
        <v>200.0</v>
      </c>
      <c r="E30" s="3">
        <v>175.0</v>
      </c>
      <c r="F30" s="3">
        <v>75.0</v>
      </c>
      <c r="G30" s="3">
        <v>75.0</v>
      </c>
    </row>
    <row r="31">
      <c r="A31" s="3" t="s">
        <v>30</v>
      </c>
      <c r="C31" s="3"/>
      <c r="D31" s="3"/>
      <c r="E31" s="3">
        <v>115.0</v>
      </c>
      <c r="F31" s="3">
        <v>115.0</v>
      </c>
      <c r="G31" s="3">
        <v>80.0</v>
      </c>
    </row>
    <row r="32">
      <c r="A32" s="3" t="s">
        <v>31</v>
      </c>
      <c r="C32" s="3"/>
      <c r="D32" s="3"/>
      <c r="E32" s="3">
        <v>35.0</v>
      </c>
      <c r="F32" s="3">
        <v>40.0</v>
      </c>
      <c r="G32" s="3">
        <v>20.0</v>
      </c>
    </row>
    <row r="33">
      <c r="A33" s="3"/>
      <c r="C33" s="3"/>
      <c r="D33" s="3"/>
      <c r="E33" s="3"/>
    </row>
    <row r="34" ht="33.75" customHeight="1">
      <c r="A34" s="3" t="s">
        <v>32</v>
      </c>
      <c r="C34" s="3">
        <v>150.0</v>
      </c>
      <c r="D34" s="3">
        <v>150.0</v>
      </c>
      <c r="E34" s="3">
        <v>75.0</v>
      </c>
      <c r="F34" s="3">
        <v>17.0</v>
      </c>
      <c r="G34" s="3">
        <v>60.0</v>
      </c>
    </row>
    <row r="35">
      <c r="A35" s="3" t="s">
        <v>33</v>
      </c>
      <c r="C35" s="3">
        <v>40.0</v>
      </c>
      <c r="D35" s="3">
        <v>25.0</v>
      </c>
      <c r="E35" s="3">
        <v>15.0</v>
      </c>
      <c r="F35" s="3">
        <v>40.0</v>
      </c>
      <c r="G35" s="3">
        <v>30.0</v>
      </c>
    </row>
    <row r="36">
      <c r="A36" s="3" t="s">
        <v>34</v>
      </c>
      <c r="C36" s="3">
        <v>25.0</v>
      </c>
      <c r="D36" s="3">
        <v>30.0</v>
      </c>
      <c r="E36" s="3">
        <v>35.0</v>
      </c>
      <c r="F36" s="3">
        <v>40.0</v>
      </c>
      <c r="G36" s="3">
        <v>30.0</v>
      </c>
    </row>
    <row r="37" ht="39.75" customHeight="1">
      <c r="A37" s="3" t="s">
        <v>35</v>
      </c>
      <c r="C37" s="3">
        <v>250.0</v>
      </c>
      <c r="D37" s="3">
        <v>250.0</v>
      </c>
      <c r="E37" s="3">
        <v>185.0</v>
      </c>
      <c r="F37" s="3">
        <v>170.0</v>
      </c>
      <c r="G37" s="3">
        <v>185.0</v>
      </c>
    </row>
    <row r="38">
      <c r="A38" s="3" t="s">
        <v>36</v>
      </c>
      <c r="C38" s="3">
        <v>50.0</v>
      </c>
      <c r="D38" s="3">
        <v>30.0</v>
      </c>
      <c r="E38" s="3">
        <v>50.0</v>
      </c>
      <c r="F38" s="3">
        <v>10.0</v>
      </c>
      <c r="G38" s="3">
        <v>50.0</v>
      </c>
    </row>
    <row r="39">
      <c r="A39" s="3" t="s">
        <v>37</v>
      </c>
      <c r="C39" s="3">
        <v>25.0</v>
      </c>
      <c r="D39" s="3">
        <v>40.0</v>
      </c>
      <c r="E39" s="3">
        <v>55.0</v>
      </c>
      <c r="F39" s="3">
        <v>60.0</v>
      </c>
      <c r="G39" s="3">
        <v>20.0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4" t="s">
        <v>38</v>
      </c>
      <c r="J1" s="5" t="s">
        <v>39</v>
      </c>
    </row>
    <row r="3">
      <c r="B3" s="6" t="s">
        <v>40</v>
      </c>
      <c r="C3" s="6" t="s">
        <v>41</v>
      </c>
      <c r="D3" s="6" t="s">
        <v>42</v>
      </c>
      <c r="E3" s="6" t="s">
        <v>43</v>
      </c>
      <c r="I3" s="6" t="s">
        <v>40</v>
      </c>
      <c r="J3" s="6" t="s">
        <v>41</v>
      </c>
      <c r="K3" s="6" t="s">
        <v>42</v>
      </c>
      <c r="L3" s="6" t="s">
        <v>43</v>
      </c>
    </row>
    <row r="5">
      <c r="A5" s="7">
        <v>45684.0</v>
      </c>
      <c r="B5" s="3">
        <v>450.0</v>
      </c>
      <c r="C5" s="3">
        <v>220.0</v>
      </c>
      <c r="D5" s="3">
        <v>125.0</v>
      </c>
      <c r="E5" s="3">
        <v>1000.0</v>
      </c>
      <c r="H5" s="8">
        <v>45809.0</v>
      </c>
      <c r="I5" s="3">
        <v>1200.0</v>
      </c>
      <c r="J5" s="3">
        <v>280.0</v>
      </c>
      <c r="K5" s="3">
        <v>400.0</v>
      </c>
      <c r="L5" s="3">
        <v>1600.0</v>
      </c>
    </row>
    <row r="6">
      <c r="A6" s="7">
        <v>45742.0</v>
      </c>
      <c r="B6" s="3">
        <v>1700.0</v>
      </c>
      <c r="C6" s="3">
        <v>470.0</v>
      </c>
      <c r="D6" s="3">
        <v>500.0</v>
      </c>
      <c r="E6" s="3">
        <v>2200.0</v>
      </c>
      <c r="H6" s="8">
        <v>45849.0</v>
      </c>
      <c r="I6" s="3">
        <v>2300.0</v>
      </c>
      <c r="J6" s="3">
        <v>50.0</v>
      </c>
      <c r="K6" s="3">
        <v>275.0</v>
      </c>
      <c r="L6" s="3">
        <v>1750.0</v>
      </c>
    </row>
    <row r="7">
      <c r="A7" s="8">
        <v>45840.0</v>
      </c>
      <c r="B7" s="3">
        <v>1500.0</v>
      </c>
      <c r="C7" s="3">
        <v>250.0</v>
      </c>
      <c r="D7" s="3">
        <v>0.0</v>
      </c>
      <c r="E7" s="3">
        <v>1000.0</v>
      </c>
    </row>
    <row r="8">
      <c r="I8" s="9"/>
    </row>
    <row r="9">
      <c r="I9" s="9"/>
    </row>
    <row r="10">
      <c r="I10" s="9"/>
    </row>
    <row r="11">
      <c r="I11" s="9"/>
    </row>
    <row r="16">
      <c r="C16" s="4" t="s">
        <v>44</v>
      </c>
    </row>
    <row r="18">
      <c r="B18" s="6" t="s">
        <v>40</v>
      </c>
      <c r="C18" s="6" t="s">
        <v>41</v>
      </c>
      <c r="D18" s="6" t="s">
        <v>42</v>
      </c>
      <c r="E18" s="6" t="s">
        <v>43</v>
      </c>
    </row>
    <row r="20">
      <c r="A20" s="7">
        <v>45719.0</v>
      </c>
      <c r="B20" s="3">
        <v>453.0</v>
      </c>
      <c r="C20" s="3">
        <v>223.0</v>
      </c>
      <c r="D20" s="3">
        <v>127.0</v>
      </c>
      <c r="E20" s="3">
        <v>803.0</v>
      </c>
    </row>
    <row r="21">
      <c r="A21" s="7">
        <v>45782.0</v>
      </c>
      <c r="B21" s="3">
        <v>400.0</v>
      </c>
      <c r="C21" s="3">
        <v>187.0</v>
      </c>
      <c r="D21" s="3">
        <v>100.0</v>
      </c>
      <c r="E21" s="3">
        <v>687.0</v>
      </c>
    </row>
    <row r="22">
      <c r="A22" s="8">
        <v>45849.0</v>
      </c>
      <c r="B22" s="3">
        <v>400.0</v>
      </c>
      <c r="C22" s="3">
        <v>200.0</v>
      </c>
      <c r="D22" s="3">
        <v>125.0</v>
      </c>
      <c r="E22" s="3">
        <v>725.0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
    <col customWidth="1" min="3" max="4" width="27.25"/>
    <col customWidth="1" min="5" max="5" width="11.0"/>
    <col customWidth="1" min="6" max="6" width="12.5"/>
  </cols>
  <sheetData>
    <row r="2" ht="22.5" customHeight="1">
      <c r="B2" s="10" t="s">
        <v>45</v>
      </c>
      <c r="C2" s="10" t="s">
        <v>46</v>
      </c>
      <c r="D2" s="10" t="s">
        <v>47</v>
      </c>
      <c r="E2" s="10" t="s">
        <v>48</v>
      </c>
      <c r="F2" s="10" t="s">
        <v>49</v>
      </c>
    </row>
    <row r="3" ht="22.5" customHeight="1">
      <c r="B3" s="11">
        <v>1.0</v>
      </c>
      <c r="C3" s="12" t="s">
        <v>5</v>
      </c>
      <c r="D3" s="11" t="s">
        <v>50</v>
      </c>
      <c r="E3" s="12" t="str">
        <f t="array" ref="E3:E201">XLOOKUP(Recetas[Materia Prima],Materia_Prima[Materia prima],Materia_Prima[Medida],"No existe")</f>
        <v>unidad</v>
      </c>
      <c r="F3" s="13">
        <v>1.0</v>
      </c>
    </row>
    <row r="4" ht="22.5" customHeight="1">
      <c r="B4" s="11">
        <v>2.0</v>
      </c>
      <c r="C4" s="12" t="s">
        <v>5</v>
      </c>
      <c r="D4" s="11" t="s">
        <v>51</v>
      </c>
      <c r="E4" s="12" t="s">
        <v>52</v>
      </c>
      <c r="F4" s="13">
        <v>1.0</v>
      </c>
    </row>
    <row r="5" ht="22.5" customHeight="1">
      <c r="B5" s="11">
        <v>3.0</v>
      </c>
      <c r="C5" s="12" t="s">
        <v>5</v>
      </c>
      <c r="D5" s="11" t="s">
        <v>53</v>
      </c>
      <c r="E5" s="12" t="s">
        <v>54</v>
      </c>
      <c r="F5" s="13">
        <v>1.0</v>
      </c>
    </row>
    <row r="6" ht="22.5" customHeight="1">
      <c r="B6" s="11">
        <v>4.0</v>
      </c>
      <c r="C6" s="12" t="s">
        <v>5</v>
      </c>
      <c r="D6" s="11" t="s">
        <v>55</v>
      </c>
      <c r="E6" s="12" t="s">
        <v>54</v>
      </c>
      <c r="F6" s="13">
        <v>4.0</v>
      </c>
    </row>
    <row r="7" ht="22.5" customHeight="1">
      <c r="B7" s="14">
        <v>1.0</v>
      </c>
      <c r="C7" s="15" t="s">
        <v>6</v>
      </c>
      <c r="D7" s="14" t="s">
        <v>50</v>
      </c>
      <c r="E7" s="15" t="s">
        <v>54</v>
      </c>
      <c r="F7" s="16">
        <v>1.0</v>
      </c>
    </row>
    <row r="8" ht="22.5" customHeight="1">
      <c r="B8" s="14">
        <v>2.0</v>
      </c>
      <c r="C8" s="15" t="s">
        <v>6</v>
      </c>
      <c r="D8" s="14" t="s">
        <v>55</v>
      </c>
      <c r="E8" s="15" t="s">
        <v>54</v>
      </c>
      <c r="F8" s="16">
        <v>8.0</v>
      </c>
    </row>
    <row r="9" ht="22.5" customHeight="1">
      <c r="B9" s="14">
        <v>3.0</v>
      </c>
      <c r="C9" s="15" t="s">
        <v>6</v>
      </c>
      <c r="D9" s="14" t="s">
        <v>56</v>
      </c>
      <c r="E9" s="15" t="s">
        <v>54</v>
      </c>
      <c r="F9" s="16">
        <v>1.0</v>
      </c>
    </row>
    <row r="10" ht="22.5" customHeight="1">
      <c r="B10" s="14">
        <v>4.0</v>
      </c>
      <c r="C10" s="15" t="s">
        <v>6</v>
      </c>
      <c r="D10" s="14" t="s">
        <v>51</v>
      </c>
      <c r="E10" s="15" t="s">
        <v>52</v>
      </c>
      <c r="F10" s="16">
        <v>1.0</v>
      </c>
    </row>
    <row r="11" ht="22.5" customHeight="1">
      <c r="B11" s="11">
        <v>1.0</v>
      </c>
      <c r="C11" s="12" t="s">
        <v>7</v>
      </c>
      <c r="D11" s="11" t="s">
        <v>50</v>
      </c>
      <c r="E11" s="12" t="s">
        <v>54</v>
      </c>
      <c r="F11" s="13">
        <v>1.0</v>
      </c>
    </row>
    <row r="12" ht="22.5" customHeight="1">
      <c r="B12" s="11">
        <v>2.0</v>
      </c>
      <c r="C12" s="12" t="s">
        <v>7</v>
      </c>
      <c r="D12" s="11" t="s">
        <v>55</v>
      </c>
      <c r="E12" s="12" t="s">
        <v>54</v>
      </c>
      <c r="F12" s="13">
        <v>15.0</v>
      </c>
    </row>
    <row r="13" ht="22.5" customHeight="1">
      <c r="B13" s="11">
        <v>3.0</v>
      </c>
      <c r="C13" s="12" t="s">
        <v>7</v>
      </c>
      <c r="D13" s="11" t="s">
        <v>57</v>
      </c>
      <c r="E13" s="12" t="s">
        <v>54</v>
      </c>
      <c r="F13" s="13">
        <v>1.0</v>
      </c>
    </row>
    <row r="14" ht="22.5" customHeight="1">
      <c r="B14" s="11">
        <v>4.0</v>
      </c>
      <c r="C14" s="12" t="s">
        <v>7</v>
      </c>
      <c r="D14" s="11" t="s">
        <v>51</v>
      </c>
      <c r="E14" s="12" t="s">
        <v>52</v>
      </c>
      <c r="F14" s="13">
        <v>1.0</v>
      </c>
    </row>
    <row r="15" ht="22.5" customHeight="1">
      <c r="B15" s="17">
        <v>1.0</v>
      </c>
      <c r="C15" s="18" t="s">
        <v>14</v>
      </c>
      <c r="D15" s="17" t="s">
        <v>50</v>
      </c>
      <c r="E15" s="18" t="s">
        <v>54</v>
      </c>
      <c r="F15" s="19">
        <v>1.0</v>
      </c>
    </row>
    <row r="16" ht="22.5" customHeight="1">
      <c r="B16" s="17">
        <v>2.0</v>
      </c>
      <c r="C16" s="18" t="s">
        <v>14</v>
      </c>
      <c r="D16" s="17" t="s">
        <v>58</v>
      </c>
      <c r="E16" s="18" t="s">
        <v>54</v>
      </c>
      <c r="F16" s="19">
        <v>1.0</v>
      </c>
    </row>
    <row r="17" ht="22.5" customHeight="1">
      <c r="B17" s="17">
        <v>3.0</v>
      </c>
      <c r="C17" s="18" t="s">
        <v>14</v>
      </c>
      <c r="D17" s="17" t="s">
        <v>59</v>
      </c>
      <c r="E17" s="18" t="s">
        <v>52</v>
      </c>
      <c r="F17" s="19">
        <v>0.0</v>
      </c>
    </row>
    <row r="18" ht="22.5" customHeight="1">
      <c r="B18" s="17">
        <v>4.0</v>
      </c>
      <c r="C18" s="18" t="s">
        <v>14</v>
      </c>
      <c r="D18" s="17" t="s">
        <v>60</v>
      </c>
      <c r="E18" s="18" t="s">
        <v>54</v>
      </c>
      <c r="F18" s="19">
        <v>1.0</v>
      </c>
    </row>
    <row r="19" ht="22.5" customHeight="1">
      <c r="B19" s="17">
        <v>5.0</v>
      </c>
      <c r="C19" s="18" t="s">
        <v>14</v>
      </c>
      <c r="D19" s="17" t="s">
        <v>61</v>
      </c>
      <c r="E19" s="18" t="s">
        <v>54</v>
      </c>
      <c r="F19" s="19">
        <v>1.0</v>
      </c>
    </row>
    <row r="20" ht="22.5" customHeight="1">
      <c r="B20" s="11">
        <v>1.0</v>
      </c>
      <c r="C20" s="12" t="s">
        <v>15</v>
      </c>
      <c r="D20" s="11" t="s">
        <v>50</v>
      </c>
      <c r="E20" s="12" t="s">
        <v>54</v>
      </c>
      <c r="F20" s="13">
        <v>1.0</v>
      </c>
    </row>
    <row r="21" ht="22.5" customHeight="1">
      <c r="B21" s="11">
        <v>2.0</v>
      </c>
      <c r="C21" s="12" t="s">
        <v>15</v>
      </c>
      <c r="D21" s="11" t="s">
        <v>58</v>
      </c>
      <c r="E21" s="12" t="s">
        <v>54</v>
      </c>
      <c r="F21" s="13">
        <v>1.0</v>
      </c>
    </row>
    <row r="22" ht="22.5" customHeight="1">
      <c r="B22" s="11">
        <v>3.0</v>
      </c>
      <c r="C22" s="12" t="s">
        <v>15</v>
      </c>
      <c r="D22" s="11" t="s">
        <v>59</v>
      </c>
      <c r="E22" s="12" t="s">
        <v>52</v>
      </c>
      <c r="F22" s="13">
        <v>0.0</v>
      </c>
    </row>
    <row r="23" ht="22.5" customHeight="1">
      <c r="B23" s="11">
        <v>4.0</v>
      </c>
      <c r="C23" s="12" t="s">
        <v>15</v>
      </c>
      <c r="D23" s="11" t="s">
        <v>62</v>
      </c>
      <c r="E23" s="12" t="s">
        <v>54</v>
      </c>
      <c r="F23" s="13">
        <v>1.0</v>
      </c>
    </row>
    <row r="24" ht="22.5" customHeight="1">
      <c r="B24" s="11">
        <v>5.0</v>
      </c>
      <c r="C24" s="12" t="s">
        <v>15</v>
      </c>
      <c r="D24" s="11" t="s">
        <v>63</v>
      </c>
      <c r="E24" s="12" t="s">
        <v>54</v>
      </c>
      <c r="F24" s="13">
        <v>1.0</v>
      </c>
    </row>
    <row r="25" ht="22.5" customHeight="1">
      <c r="B25" s="17">
        <v>1.0</v>
      </c>
      <c r="C25" s="18" t="s">
        <v>16</v>
      </c>
      <c r="D25" s="17" t="s">
        <v>50</v>
      </c>
      <c r="E25" s="18" t="s">
        <v>54</v>
      </c>
      <c r="F25" s="19">
        <v>1.0</v>
      </c>
    </row>
    <row r="26" ht="22.5" customHeight="1">
      <c r="B26" s="17">
        <v>2.0</v>
      </c>
      <c r="C26" s="18" t="s">
        <v>16</v>
      </c>
      <c r="D26" s="17" t="s">
        <v>58</v>
      </c>
      <c r="E26" s="18" t="s">
        <v>54</v>
      </c>
      <c r="F26" s="19">
        <v>1.0</v>
      </c>
    </row>
    <row r="27" ht="22.5" customHeight="1">
      <c r="B27" s="17">
        <v>3.0</v>
      </c>
      <c r="C27" s="18" t="s">
        <v>16</v>
      </c>
      <c r="D27" s="17" t="s">
        <v>59</v>
      </c>
      <c r="E27" s="18" t="s">
        <v>52</v>
      </c>
      <c r="F27" s="19">
        <v>0.0</v>
      </c>
    </row>
    <row r="28" ht="22.5" customHeight="1">
      <c r="B28" s="17">
        <v>4.0</v>
      </c>
      <c r="C28" s="18" t="s">
        <v>16</v>
      </c>
      <c r="D28" s="17" t="s">
        <v>64</v>
      </c>
      <c r="E28" s="18" t="s">
        <v>52</v>
      </c>
      <c r="F28" s="19">
        <v>1.0</v>
      </c>
    </row>
    <row r="29" ht="22.5" customHeight="1">
      <c r="B29" s="17">
        <v>5.0</v>
      </c>
      <c r="C29" s="18" t="s">
        <v>16</v>
      </c>
      <c r="D29" s="17" t="s">
        <v>62</v>
      </c>
      <c r="E29" s="18" t="s">
        <v>54</v>
      </c>
      <c r="F29" s="19">
        <v>1.0</v>
      </c>
    </row>
    <row r="30" ht="22.5" customHeight="1">
      <c r="B30" s="17">
        <v>6.0</v>
      </c>
      <c r="C30" s="18" t="s">
        <v>16</v>
      </c>
      <c r="D30" s="17" t="s">
        <v>65</v>
      </c>
      <c r="E30" s="18" t="s">
        <v>54</v>
      </c>
      <c r="F30" s="19">
        <v>1.0</v>
      </c>
    </row>
    <row r="31" ht="22.5" customHeight="1">
      <c r="B31" s="11">
        <v>1.0</v>
      </c>
      <c r="C31" s="12" t="s">
        <v>17</v>
      </c>
      <c r="D31" s="11" t="s">
        <v>50</v>
      </c>
      <c r="E31" s="12" t="s">
        <v>54</v>
      </c>
      <c r="F31" s="13">
        <v>1.0</v>
      </c>
    </row>
    <row r="32" ht="22.5" customHeight="1">
      <c r="B32" s="11">
        <v>2.0</v>
      </c>
      <c r="C32" s="12" t="s">
        <v>17</v>
      </c>
      <c r="D32" s="11" t="s">
        <v>58</v>
      </c>
      <c r="E32" s="12" t="s">
        <v>54</v>
      </c>
      <c r="F32" s="13">
        <v>1.0</v>
      </c>
    </row>
    <row r="33" ht="22.5" customHeight="1">
      <c r="B33" s="11">
        <v>3.0</v>
      </c>
      <c r="C33" s="12" t="s">
        <v>17</v>
      </c>
      <c r="D33" s="11" t="s">
        <v>59</v>
      </c>
      <c r="E33" s="12" t="s">
        <v>52</v>
      </c>
      <c r="F33" s="13">
        <v>0.0</v>
      </c>
    </row>
    <row r="34" ht="22.5" customHeight="1">
      <c r="B34" s="11">
        <v>4.0</v>
      </c>
      <c r="C34" s="12" t="s">
        <v>17</v>
      </c>
      <c r="D34" s="11" t="s">
        <v>64</v>
      </c>
      <c r="E34" s="12" t="s">
        <v>52</v>
      </c>
      <c r="F34" s="13">
        <v>1.0</v>
      </c>
    </row>
    <row r="35" ht="22.5" customHeight="1">
      <c r="B35" s="11">
        <v>5.0</v>
      </c>
      <c r="C35" s="12" t="s">
        <v>17</v>
      </c>
      <c r="D35" s="11" t="s">
        <v>62</v>
      </c>
      <c r="E35" s="12" t="s">
        <v>54</v>
      </c>
      <c r="F35" s="13">
        <v>1.0</v>
      </c>
    </row>
    <row r="36" ht="22.5" customHeight="1">
      <c r="B36" s="11">
        <v>6.0</v>
      </c>
      <c r="C36" s="12" t="s">
        <v>17</v>
      </c>
      <c r="D36" s="11" t="s">
        <v>66</v>
      </c>
      <c r="E36" s="12" t="s">
        <v>54</v>
      </c>
      <c r="F36" s="13">
        <v>1.0</v>
      </c>
    </row>
    <row r="37" ht="22.5" customHeight="1">
      <c r="B37" s="17">
        <v>1.0</v>
      </c>
      <c r="C37" s="18" t="s">
        <v>18</v>
      </c>
      <c r="D37" s="17" t="s">
        <v>50</v>
      </c>
      <c r="E37" s="18" t="s">
        <v>54</v>
      </c>
      <c r="F37" s="19">
        <v>1.0</v>
      </c>
    </row>
    <row r="38" ht="22.5" customHeight="1">
      <c r="B38" s="17">
        <v>2.0</v>
      </c>
      <c r="C38" s="18" t="s">
        <v>18</v>
      </c>
      <c r="D38" s="17" t="s">
        <v>58</v>
      </c>
      <c r="E38" s="18" t="s">
        <v>54</v>
      </c>
      <c r="F38" s="19">
        <v>1.0</v>
      </c>
    </row>
    <row r="39" ht="22.5" customHeight="1">
      <c r="B39" s="17">
        <v>3.0</v>
      </c>
      <c r="C39" s="18" t="s">
        <v>18</v>
      </c>
      <c r="D39" s="17" t="s">
        <v>59</v>
      </c>
      <c r="E39" s="18" t="s">
        <v>52</v>
      </c>
      <c r="F39" s="19">
        <v>0.0</v>
      </c>
    </row>
    <row r="40" ht="22.5" customHeight="1">
      <c r="B40" s="17">
        <v>4.0</v>
      </c>
      <c r="C40" s="18" t="s">
        <v>18</v>
      </c>
      <c r="D40" s="17" t="s">
        <v>64</v>
      </c>
      <c r="E40" s="18" t="s">
        <v>52</v>
      </c>
      <c r="F40" s="19">
        <v>1.0</v>
      </c>
    </row>
    <row r="41" ht="22.5" customHeight="1">
      <c r="B41" s="17">
        <v>5.0</v>
      </c>
      <c r="C41" s="18" t="s">
        <v>18</v>
      </c>
      <c r="D41" s="17" t="s">
        <v>62</v>
      </c>
      <c r="E41" s="18" t="s">
        <v>54</v>
      </c>
      <c r="F41" s="19">
        <v>1.0</v>
      </c>
    </row>
    <row r="42" ht="22.5" customHeight="1">
      <c r="B42" s="17">
        <v>6.0</v>
      </c>
      <c r="C42" s="18" t="s">
        <v>18</v>
      </c>
      <c r="D42" s="17" t="s">
        <v>67</v>
      </c>
      <c r="E42" s="18" t="s">
        <v>54</v>
      </c>
      <c r="F42" s="19">
        <v>1.0</v>
      </c>
    </row>
    <row r="43" ht="22.5" customHeight="1">
      <c r="B43" s="20">
        <v>1.0</v>
      </c>
      <c r="C43" s="20" t="s">
        <v>19</v>
      </c>
      <c r="D43" s="20" t="s">
        <v>50</v>
      </c>
      <c r="E43" s="21" t="s">
        <v>54</v>
      </c>
      <c r="F43" s="22">
        <v>1.0</v>
      </c>
    </row>
    <row r="44" ht="22.5" customHeight="1">
      <c r="B44" s="20">
        <v>2.0</v>
      </c>
      <c r="C44" s="20" t="s">
        <v>19</v>
      </c>
      <c r="D44" s="20" t="s">
        <v>58</v>
      </c>
      <c r="E44" s="21" t="s">
        <v>54</v>
      </c>
      <c r="F44" s="22">
        <v>1.0</v>
      </c>
    </row>
    <row r="45" ht="22.5" customHeight="1">
      <c r="B45" s="20">
        <v>3.0</v>
      </c>
      <c r="C45" s="20" t="s">
        <v>19</v>
      </c>
      <c r="D45" s="20" t="s">
        <v>59</v>
      </c>
      <c r="E45" s="21" t="s">
        <v>52</v>
      </c>
      <c r="F45" s="22">
        <v>0.0</v>
      </c>
    </row>
    <row r="46" ht="22.5" customHeight="1">
      <c r="B46" s="20">
        <v>4.0</v>
      </c>
      <c r="C46" s="20" t="s">
        <v>19</v>
      </c>
      <c r="D46" s="20" t="s">
        <v>64</v>
      </c>
      <c r="E46" s="21" t="s">
        <v>52</v>
      </c>
      <c r="F46" s="22">
        <v>1.0</v>
      </c>
    </row>
    <row r="47" ht="22.5" customHeight="1">
      <c r="B47" s="20">
        <v>5.0</v>
      </c>
      <c r="C47" s="20" t="s">
        <v>19</v>
      </c>
      <c r="D47" s="20" t="s">
        <v>62</v>
      </c>
      <c r="E47" s="21" t="s">
        <v>54</v>
      </c>
      <c r="F47" s="22">
        <v>1.0</v>
      </c>
    </row>
    <row r="48" ht="22.5" customHeight="1">
      <c r="B48" s="20">
        <v>6.0</v>
      </c>
      <c r="C48" s="20" t="s">
        <v>19</v>
      </c>
      <c r="D48" s="20" t="s">
        <v>68</v>
      </c>
      <c r="E48" s="21" t="s">
        <v>54</v>
      </c>
      <c r="F48" s="22">
        <v>1.0</v>
      </c>
    </row>
    <row r="49" ht="22.5" customHeight="1">
      <c r="B49" s="17">
        <v>1.0</v>
      </c>
      <c r="C49" s="17" t="s">
        <v>20</v>
      </c>
      <c r="D49" s="17" t="s">
        <v>50</v>
      </c>
      <c r="E49" s="18" t="s">
        <v>54</v>
      </c>
      <c r="F49" s="19">
        <v>1.0</v>
      </c>
    </row>
    <row r="50" ht="22.5" customHeight="1">
      <c r="B50" s="17">
        <v>2.0</v>
      </c>
      <c r="C50" s="17" t="s">
        <v>20</v>
      </c>
      <c r="D50" s="17" t="s">
        <v>58</v>
      </c>
      <c r="E50" s="18" t="s">
        <v>54</v>
      </c>
      <c r="F50" s="19">
        <v>1.0</v>
      </c>
    </row>
    <row r="51" ht="22.5" customHeight="1">
      <c r="B51" s="17">
        <v>3.0</v>
      </c>
      <c r="C51" s="17" t="s">
        <v>20</v>
      </c>
      <c r="D51" s="17" t="s">
        <v>59</v>
      </c>
      <c r="E51" s="18" t="s">
        <v>52</v>
      </c>
      <c r="F51" s="19">
        <v>0.0</v>
      </c>
    </row>
    <row r="52" ht="22.5" customHeight="1">
      <c r="B52" s="17">
        <v>4.0</v>
      </c>
      <c r="C52" s="17" t="s">
        <v>20</v>
      </c>
      <c r="D52" s="17" t="s">
        <v>64</v>
      </c>
      <c r="E52" s="18" t="s">
        <v>52</v>
      </c>
      <c r="F52" s="19">
        <v>1.0</v>
      </c>
    </row>
    <row r="53" ht="22.5" customHeight="1">
      <c r="B53" s="17">
        <v>5.0</v>
      </c>
      <c r="C53" s="17" t="s">
        <v>20</v>
      </c>
      <c r="D53" s="17" t="s">
        <v>62</v>
      </c>
      <c r="E53" s="18" t="s">
        <v>54</v>
      </c>
      <c r="F53" s="19">
        <v>1.0</v>
      </c>
    </row>
    <row r="54" ht="22.5" customHeight="1">
      <c r="B54" s="17">
        <v>6.0</v>
      </c>
      <c r="C54" s="17" t="s">
        <v>20</v>
      </c>
      <c r="D54" s="17" t="s">
        <v>69</v>
      </c>
      <c r="E54" s="18" t="s">
        <v>54</v>
      </c>
      <c r="F54" s="19">
        <v>1.0</v>
      </c>
    </row>
    <row r="55" ht="22.5" customHeight="1">
      <c r="B55" s="23">
        <v>1.0</v>
      </c>
      <c r="C55" s="23" t="s">
        <v>21</v>
      </c>
      <c r="D55" s="24" t="s">
        <v>50</v>
      </c>
      <c r="E55" s="25" t="s">
        <v>54</v>
      </c>
      <c r="F55" s="26">
        <v>1.0</v>
      </c>
    </row>
    <row r="56" ht="22.5" customHeight="1">
      <c r="B56" s="23">
        <v>2.0</v>
      </c>
      <c r="C56" s="23" t="s">
        <v>21</v>
      </c>
      <c r="D56" s="24" t="s">
        <v>58</v>
      </c>
      <c r="E56" s="25" t="s">
        <v>54</v>
      </c>
      <c r="F56" s="26">
        <v>1.0</v>
      </c>
    </row>
    <row r="57" ht="22.5" customHeight="1">
      <c r="B57" s="23">
        <v>3.0</v>
      </c>
      <c r="C57" s="23" t="s">
        <v>21</v>
      </c>
      <c r="D57" s="24" t="s">
        <v>59</v>
      </c>
      <c r="E57" s="25" t="s">
        <v>52</v>
      </c>
      <c r="F57" s="26">
        <v>0.0</v>
      </c>
    </row>
    <row r="58" ht="22.5" customHeight="1">
      <c r="B58" s="23">
        <v>4.0</v>
      </c>
      <c r="C58" s="23" t="s">
        <v>21</v>
      </c>
      <c r="D58" s="24" t="s">
        <v>64</v>
      </c>
      <c r="E58" s="25" t="s">
        <v>52</v>
      </c>
      <c r="F58" s="26">
        <v>1.0</v>
      </c>
    </row>
    <row r="59" ht="22.5" customHeight="1">
      <c r="B59" s="23">
        <v>5.0</v>
      </c>
      <c r="C59" s="23" t="s">
        <v>21</v>
      </c>
      <c r="D59" s="24" t="s">
        <v>62</v>
      </c>
      <c r="E59" s="25" t="s">
        <v>54</v>
      </c>
      <c r="F59" s="26">
        <v>1.0</v>
      </c>
    </row>
    <row r="60" ht="22.5" customHeight="1">
      <c r="B60" s="23">
        <v>6.0</v>
      </c>
      <c r="C60" s="23" t="s">
        <v>21</v>
      </c>
      <c r="D60" s="27" t="s">
        <v>70</v>
      </c>
      <c r="E60" s="25" t="s">
        <v>54</v>
      </c>
      <c r="F60" s="26">
        <v>1.0</v>
      </c>
    </row>
    <row r="61" ht="22.5" customHeight="1">
      <c r="B61" s="11">
        <v>1.0</v>
      </c>
      <c r="C61" s="12" t="s">
        <v>22</v>
      </c>
      <c r="D61" s="11" t="s">
        <v>50</v>
      </c>
      <c r="E61" s="12" t="s">
        <v>54</v>
      </c>
      <c r="F61" s="13">
        <v>1.0</v>
      </c>
    </row>
    <row r="62" ht="22.5" customHeight="1">
      <c r="B62" s="11">
        <v>2.0</v>
      </c>
      <c r="C62" s="12" t="s">
        <v>22</v>
      </c>
      <c r="D62" s="11" t="s">
        <v>58</v>
      </c>
      <c r="E62" s="12" t="s">
        <v>54</v>
      </c>
      <c r="F62" s="13">
        <v>1.0</v>
      </c>
    </row>
    <row r="63" ht="22.5" customHeight="1">
      <c r="B63" s="11">
        <v>3.0</v>
      </c>
      <c r="C63" s="12" t="s">
        <v>22</v>
      </c>
      <c r="D63" s="11" t="s">
        <v>59</v>
      </c>
      <c r="E63" s="12" t="s">
        <v>52</v>
      </c>
      <c r="F63" s="13">
        <v>0.0</v>
      </c>
    </row>
    <row r="64" ht="22.5" customHeight="1">
      <c r="B64" s="11">
        <v>4.0</v>
      </c>
      <c r="C64" s="12" t="s">
        <v>22</v>
      </c>
      <c r="D64" s="11" t="s">
        <v>64</v>
      </c>
      <c r="E64" s="12" t="s">
        <v>52</v>
      </c>
      <c r="F64" s="13">
        <v>1.0</v>
      </c>
    </row>
    <row r="65" ht="22.5" customHeight="1">
      <c r="B65" s="11">
        <v>5.0</v>
      </c>
      <c r="C65" s="12" t="s">
        <v>22</v>
      </c>
      <c r="D65" s="11" t="s">
        <v>62</v>
      </c>
      <c r="E65" s="12" t="s">
        <v>54</v>
      </c>
      <c r="F65" s="13">
        <v>1.0</v>
      </c>
    </row>
    <row r="66" ht="22.5" customHeight="1">
      <c r="B66" s="11">
        <v>6.0</v>
      </c>
      <c r="C66" s="12" t="s">
        <v>22</v>
      </c>
      <c r="D66" s="11" t="s">
        <v>61</v>
      </c>
      <c r="E66" s="12" t="s">
        <v>54</v>
      </c>
      <c r="F66" s="13">
        <v>1.0</v>
      </c>
    </row>
    <row r="67" ht="22.5" customHeight="1">
      <c r="B67" s="11">
        <v>7.0</v>
      </c>
      <c r="C67" s="12" t="s">
        <v>22</v>
      </c>
      <c r="D67" s="11" t="s">
        <v>63</v>
      </c>
      <c r="E67" s="12" t="s">
        <v>54</v>
      </c>
      <c r="F67" s="13">
        <v>1.0</v>
      </c>
    </row>
    <row r="68" ht="22.5" customHeight="1">
      <c r="B68" s="17">
        <v>1.0</v>
      </c>
      <c r="C68" s="18" t="s">
        <v>23</v>
      </c>
      <c r="D68" s="17" t="s">
        <v>50</v>
      </c>
      <c r="E68" s="18" t="s">
        <v>54</v>
      </c>
      <c r="F68" s="19">
        <v>1.0</v>
      </c>
    </row>
    <row r="69" ht="22.5" customHeight="1">
      <c r="B69" s="17">
        <v>2.0</v>
      </c>
      <c r="C69" s="18" t="s">
        <v>23</v>
      </c>
      <c r="D69" s="17" t="s">
        <v>64</v>
      </c>
      <c r="E69" s="18" t="s">
        <v>52</v>
      </c>
      <c r="F69" s="19">
        <v>1.0</v>
      </c>
    </row>
    <row r="70" ht="22.5" customHeight="1">
      <c r="B70" s="17">
        <v>3.0</v>
      </c>
      <c r="C70" s="18" t="s">
        <v>23</v>
      </c>
      <c r="D70" s="17" t="s">
        <v>63</v>
      </c>
      <c r="E70" s="18" t="s">
        <v>54</v>
      </c>
      <c r="F70" s="19">
        <v>2.0</v>
      </c>
    </row>
    <row r="71" ht="22.5" customHeight="1">
      <c r="B71" s="11">
        <v>1.0</v>
      </c>
      <c r="C71" s="12" t="s">
        <v>71</v>
      </c>
      <c r="D71" s="11" t="s">
        <v>50</v>
      </c>
      <c r="E71" s="12" t="s">
        <v>54</v>
      </c>
      <c r="F71" s="13">
        <v>1.0</v>
      </c>
    </row>
    <row r="72" ht="22.5" customHeight="1">
      <c r="B72" s="11">
        <v>2.0</v>
      </c>
      <c r="C72" s="12" t="s">
        <v>71</v>
      </c>
      <c r="D72" s="11" t="s">
        <v>64</v>
      </c>
      <c r="E72" s="12" t="s">
        <v>52</v>
      </c>
      <c r="F72" s="13">
        <v>1.0</v>
      </c>
    </row>
    <row r="73" ht="22.5" customHeight="1">
      <c r="B73" s="11">
        <v>3.0</v>
      </c>
      <c r="C73" s="12" t="s">
        <v>71</v>
      </c>
      <c r="D73" s="11" t="s">
        <v>61</v>
      </c>
      <c r="E73" s="12" t="s">
        <v>54</v>
      </c>
      <c r="F73" s="13">
        <v>2.0</v>
      </c>
    </row>
    <row r="74" ht="22.5" customHeight="1">
      <c r="B74" s="17">
        <v>1.0</v>
      </c>
      <c r="C74" s="18" t="s">
        <v>24</v>
      </c>
      <c r="D74" s="17" t="s">
        <v>72</v>
      </c>
      <c r="E74" s="18" t="s">
        <v>54</v>
      </c>
      <c r="F74" s="19">
        <v>1.0</v>
      </c>
    </row>
    <row r="75" ht="22.5" customHeight="1">
      <c r="B75" s="17">
        <v>2.0</v>
      </c>
      <c r="C75" s="18" t="s">
        <v>24</v>
      </c>
      <c r="D75" s="17" t="s">
        <v>73</v>
      </c>
      <c r="E75" s="18" t="s">
        <v>54</v>
      </c>
      <c r="F75" s="19">
        <v>1.0</v>
      </c>
    </row>
    <row r="76" ht="22.5" customHeight="1">
      <c r="B76" s="11">
        <v>1.0</v>
      </c>
      <c r="C76" s="11" t="s">
        <v>26</v>
      </c>
      <c r="D76" s="11" t="s">
        <v>50</v>
      </c>
      <c r="E76" s="12" t="s">
        <v>54</v>
      </c>
      <c r="F76" s="13">
        <v>1.0</v>
      </c>
    </row>
    <row r="77" ht="22.5" customHeight="1">
      <c r="B77" s="11">
        <v>2.0</v>
      </c>
      <c r="C77" s="11" t="s">
        <v>26</v>
      </c>
      <c r="D77" s="11" t="s">
        <v>74</v>
      </c>
      <c r="E77" s="12" t="s">
        <v>54</v>
      </c>
      <c r="F77" s="13">
        <v>1.0</v>
      </c>
    </row>
    <row r="78" ht="22.5" customHeight="1">
      <c r="B78" s="11">
        <v>3.0</v>
      </c>
      <c r="C78" s="11" t="s">
        <v>26</v>
      </c>
      <c r="D78" s="11" t="s">
        <v>75</v>
      </c>
      <c r="E78" s="12" t="s">
        <v>54</v>
      </c>
      <c r="F78" s="13">
        <v>1.0</v>
      </c>
    </row>
    <row r="79" ht="22.5" customHeight="1">
      <c r="B79" s="11">
        <v>4.0</v>
      </c>
      <c r="C79" s="11" t="s">
        <v>26</v>
      </c>
      <c r="D79" s="20" t="s">
        <v>59</v>
      </c>
      <c r="E79" s="12" t="s">
        <v>52</v>
      </c>
      <c r="F79" s="13">
        <v>1.0</v>
      </c>
    </row>
    <row r="80" ht="22.5" customHeight="1">
      <c r="B80" s="11">
        <v>5.0</v>
      </c>
      <c r="C80" s="11" t="s">
        <v>26</v>
      </c>
      <c r="D80" s="11" t="s">
        <v>76</v>
      </c>
      <c r="E80" s="12" t="s">
        <v>54</v>
      </c>
      <c r="F80" s="13">
        <v>1.0</v>
      </c>
    </row>
    <row r="81" ht="22.5" customHeight="1">
      <c r="B81" s="11">
        <v>6.0</v>
      </c>
      <c r="C81" s="11" t="s">
        <v>26</v>
      </c>
      <c r="D81" s="11" t="s">
        <v>77</v>
      </c>
      <c r="E81" s="12" t="s">
        <v>54</v>
      </c>
      <c r="F81" s="13">
        <v>2.0</v>
      </c>
    </row>
    <row r="82" ht="22.5" customHeight="1">
      <c r="B82" s="11">
        <v>7.0</v>
      </c>
      <c r="C82" s="11" t="s">
        <v>26</v>
      </c>
      <c r="D82" s="11" t="s">
        <v>78</v>
      </c>
      <c r="E82" s="12" t="s">
        <v>54</v>
      </c>
      <c r="F82" s="13">
        <v>2.0</v>
      </c>
    </row>
    <row r="83" ht="22.5" customHeight="1">
      <c r="B83" s="11">
        <v>8.0</v>
      </c>
      <c r="C83" s="11" t="s">
        <v>26</v>
      </c>
      <c r="D83" s="11" t="s">
        <v>79</v>
      </c>
      <c r="E83" s="12" t="s">
        <v>54</v>
      </c>
      <c r="F83" s="13">
        <v>1.0</v>
      </c>
    </row>
    <row r="84" ht="22.5" customHeight="1">
      <c r="B84" s="17">
        <v>1.0</v>
      </c>
      <c r="C84" s="17" t="s">
        <v>27</v>
      </c>
      <c r="D84" s="17" t="s">
        <v>50</v>
      </c>
      <c r="E84" s="18" t="s">
        <v>54</v>
      </c>
      <c r="F84" s="19">
        <v>1.0</v>
      </c>
    </row>
    <row r="85" ht="22.5" customHeight="1">
      <c r="B85" s="17">
        <v>2.0</v>
      </c>
      <c r="C85" s="17" t="s">
        <v>27</v>
      </c>
      <c r="D85" s="17" t="s">
        <v>80</v>
      </c>
      <c r="E85" s="18" t="s">
        <v>54</v>
      </c>
      <c r="F85" s="19">
        <v>1.0</v>
      </c>
    </row>
    <row r="86" ht="22.5" customHeight="1">
      <c r="B86" s="17">
        <v>3.0</v>
      </c>
      <c r="C86" s="17" t="s">
        <v>27</v>
      </c>
      <c r="D86" s="17" t="s">
        <v>81</v>
      </c>
      <c r="E86" s="18" t="s">
        <v>54</v>
      </c>
      <c r="F86" s="19">
        <v>1.0</v>
      </c>
    </row>
    <row r="87" ht="22.5" customHeight="1">
      <c r="B87" s="17">
        <v>4.0</v>
      </c>
      <c r="C87" s="17" t="s">
        <v>27</v>
      </c>
      <c r="D87" s="17" t="s">
        <v>75</v>
      </c>
      <c r="E87" s="18" t="s">
        <v>54</v>
      </c>
      <c r="F87" s="19">
        <v>1.0</v>
      </c>
    </row>
    <row r="88" ht="22.5" customHeight="1">
      <c r="B88" s="17">
        <v>5.0</v>
      </c>
      <c r="C88" s="17" t="s">
        <v>27</v>
      </c>
      <c r="D88" s="17" t="s">
        <v>59</v>
      </c>
      <c r="E88" s="18" t="s">
        <v>52</v>
      </c>
      <c r="F88" s="19">
        <v>1.0</v>
      </c>
    </row>
    <row r="89" ht="22.5" customHeight="1">
      <c r="B89" s="17">
        <v>6.0</v>
      </c>
      <c r="C89" s="17" t="s">
        <v>27</v>
      </c>
      <c r="D89" s="17" t="s">
        <v>76</v>
      </c>
      <c r="E89" s="18" t="s">
        <v>54</v>
      </c>
      <c r="F89" s="19">
        <v>2.0</v>
      </c>
    </row>
    <row r="90" ht="22.5" customHeight="1">
      <c r="B90" s="17">
        <v>7.0</v>
      </c>
      <c r="C90" s="17" t="s">
        <v>27</v>
      </c>
      <c r="D90" s="17" t="s">
        <v>82</v>
      </c>
      <c r="E90" s="18" t="s">
        <v>54</v>
      </c>
      <c r="F90" s="19">
        <v>3.0</v>
      </c>
    </row>
    <row r="91" ht="22.5" customHeight="1">
      <c r="B91" s="17">
        <v>8.0</v>
      </c>
      <c r="C91" s="17" t="s">
        <v>27</v>
      </c>
      <c r="D91" s="17" t="s">
        <v>78</v>
      </c>
      <c r="E91" s="18" t="s">
        <v>54</v>
      </c>
      <c r="F91" s="19">
        <v>3.0</v>
      </c>
    </row>
    <row r="92" ht="22.5" customHeight="1">
      <c r="B92" s="17">
        <v>9.0</v>
      </c>
      <c r="C92" s="17" t="s">
        <v>27</v>
      </c>
      <c r="D92" s="17" t="s">
        <v>79</v>
      </c>
      <c r="E92" s="18" t="s">
        <v>54</v>
      </c>
      <c r="F92" s="19">
        <v>1.0</v>
      </c>
    </row>
    <row r="93" ht="22.5" customHeight="1">
      <c r="B93" s="11">
        <v>1.0</v>
      </c>
      <c r="C93" s="12" t="s">
        <v>32</v>
      </c>
      <c r="D93" s="11" t="s">
        <v>50</v>
      </c>
      <c r="E93" s="12" t="s">
        <v>54</v>
      </c>
      <c r="F93" s="13">
        <v>1.0</v>
      </c>
    </row>
    <row r="94" ht="22.5" customHeight="1">
      <c r="B94" s="11">
        <v>2.0</v>
      </c>
      <c r="C94" s="12" t="s">
        <v>32</v>
      </c>
      <c r="D94" s="20" t="s">
        <v>83</v>
      </c>
      <c r="E94" s="12" t="s">
        <v>54</v>
      </c>
      <c r="F94" s="13">
        <v>1.0</v>
      </c>
    </row>
    <row r="95" ht="22.5" customHeight="1">
      <c r="B95" s="11">
        <v>3.0</v>
      </c>
      <c r="C95" s="12" t="s">
        <v>32</v>
      </c>
      <c r="D95" s="11" t="s">
        <v>84</v>
      </c>
      <c r="E95" s="12" t="s">
        <v>54</v>
      </c>
      <c r="F95" s="13">
        <v>1.0</v>
      </c>
    </row>
    <row r="96" ht="22.5" customHeight="1">
      <c r="B96" s="11">
        <v>4.0</v>
      </c>
      <c r="C96" s="12" t="s">
        <v>32</v>
      </c>
      <c r="D96" s="11" t="s">
        <v>59</v>
      </c>
      <c r="E96" s="12" t="s">
        <v>52</v>
      </c>
      <c r="F96" s="13">
        <v>0.0</v>
      </c>
    </row>
    <row r="97" ht="22.5" customHeight="1">
      <c r="B97" s="11">
        <v>5.0</v>
      </c>
      <c r="C97" s="12" t="s">
        <v>32</v>
      </c>
      <c r="D97" s="11" t="s">
        <v>85</v>
      </c>
      <c r="E97" s="12" t="s">
        <v>54</v>
      </c>
      <c r="F97" s="13">
        <v>0.0</v>
      </c>
    </row>
    <row r="98" ht="22.5" customHeight="1">
      <c r="B98" s="11">
        <v>6.0</v>
      </c>
      <c r="C98" s="12" t="s">
        <v>32</v>
      </c>
      <c r="D98" s="11" t="s">
        <v>86</v>
      </c>
      <c r="E98" s="12" t="s">
        <v>54</v>
      </c>
      <c r="F98" s="13">
        <v>1.0</v>
      </c>
    </row>
    <row r="99" ht="22.5" customHeight="1">
      <c r="B99" s="17">
        <v>1.0</v>
      </c>
      <c r="C99" s="18" t="s">
        <v>33</v>
      </c>
      <c r="D99" s="17" t="s">
        <v>50</v>
      </c>
      <c r="E99" s="18" t="s">
        <v>54</v>
      </c>
      <c r="F99" s="19">
        <v>1.0</v>
      </c>
    </row>
    <row r="100" ht="22.5" customHeight="1">
      <c r="B100" s="17">
        <v>2.0</v>
      </c>
      <c r="C100" s="18" t="s">
        <v>33</v>
      </c>
      <c r="D100" s="17" t="s">
        <v>87</v>
      </c>
      <c r="E100" s="18" t="s">
        <v>54</v>
      </c>
      <c r="F100" s="19">
        <v>1.0</v>
      </c>
    </row>
    <row r="101" ht="22.5" customHeight="1">
      <c r="B101" s="17">
        <v>3.0</v>
      </c>
      <c r="C101" s="18" t="s">
        <v>33</v>
      </c>
      <c r="D101" s="17" t="s">
        <v>84</v>
      </c>
      <c r="E101" s="18" t="s">
        <v>54</v>
      </c>
      <c r="F101" s="19">
        <v>1.0</v>
      </c>
    </row>
    <row r="102" ht="22.5" customHeight="1">
      <c r="B102" s="17">
        <v>4.0</v>
      </c>
      <c r="C102" s="18" t="s">
        <v>33</v>
      </c>
      <c r="D102" s="17" t="s">
        <v>59</v>
      </c>
      <c r="E102" s="18" t="s">
        <v>52</v>
      </c>
      <c r="F102" s="19">
        <v>0.0</v>
      </c>
    </row>
    <row r="103" ht="22.5" customHeight="1">
      <c r="B103" s="17">
        <v>5.0</v>
      </c>
      <c r="C103" s="18" t="s">
        <v>33</v>
      </c>
      <c r="D103" s="17" t="s">
        <v>85</v>
      </c>
      <c r="E103" s="18" t="s">
        <v>54</v>
      </c>
      <c r="F103" s="19">
        <v>0.0</v>
      </c>
    </row>
    <row r="104" ht="22.5" customHeight="1">
      <c r="B104" s="17">
        <v>6.0</v>
      </c>
      <c r="C104" s="18" t="s">
        <v>33</v>
      </c>
      <c r="D104" s="17" t="s">
        <v>88</v>
      </c>
      <c r="E104" s="18" t="s">
        <v>54</v>
      </c>
      <c r="F104" s="19">
        <v>1.0</v>
      </c>
    </row>
    <row r="105" ht="22.5" customHeight="1">
      <c r="B105" s="11">
        <v>1.0</v>
      </c>
      <c r="C105" s="12" t="s">
        <v>34</v>
      </c>
      <c r="D105" s="11" t="s">
        <v>50</v>
      </c>
      <c r="E105" s="12" t="s">
        <v>54</v>
      </c>
      <c r="F105" s="13">
        <v>1.0</v>
      </c>
    </row>
    <row r="106" ht="22.5" customHeight="1">
      <c r="B106" s="11">
        <v>2.0</v>
      </c>
      <c r="C106" s="12" t="s">
        <v>34</v>
      </c>
      <c r="D106" s="20" t="s">
        <v>89</v>
      </c>
      <c r="E106" s="12" t="s">
        <v>54</v>
      </c>
      <c r="F106" s="13">
        <v>1.0</v>
      </c>
    </row>
    <row r="107" ht="22.5" customHeight="1">
      <c r="B107" s="11">
        <v>3.0</v>
      </c>
      <c r="C107" s="12" t="s">
        <v>34</v>
      </c>
      <c r="D107" s="11" t="s">
        <v>84</v>
      </c>
      <c r="E107" s="12" t="s">
        <v>54</v>
      </c>
      <c r="F107" s="13">
        <v>1.0</v>
      </c>
    </row>
    <row r="108" ht="22.5" customHeight="1">
      <c r="B108" s="11">
        <v>4.0</v>
      </c>
      <c r="C108" s="12" t="s">
        <v>34</v>
      </c>
      <c r="D108" s="11" t="s">
        <v>59</v>
      </c>
      <c r="E108" s="12" t="s">
        <v>52</v>
      </c>
      <c r="F108" s="13">
        <v>0.0</v>
      </c>
    </row>
    <row r="109" ht="22.5" customHeight="1">
      <c r="B109" s="11">
        <v>5.0</v>
      </c>
      <c r="C109" s="12" t="s">
        <v>34</v>
      </c>
      <c r="D109" s="11" t="s">
        <v>85</v>
      </c>
      <c r="E109" s="12" t="s">
        <v>54</v>
      </c>
      <c r="F109" s="13">
        <v>0.0</v>
      </c>
    </row>
    <row r="110" ht="22.5" customHeight="1">
      <c r="B110" s="11">
        <v>6.0</v>
      </c>
      <c r="C110" s="12" t="s">
        <v>34</v>
      </c>
      <c r="D110" s="11" t="s">
        <v>90</v>
      </c>
      <c r="E110" s="12" t="s">
        <v>54</v>
      </c>
      <c r="F110" s="13">
        <v>1.0</v>
      </c>
    </row>
    <row r="111" ht="22.5" customHeight="1">
      <c r="B111" s="17">
        <v>1.0</v>
      </c>
      <c r="C111" s="18" t="s">
        <v>35</v>
      </c>
      <c r="D111" s="17" t="s">
        <v>50</v>
      </c>
      <c r="E111" s="18" t="s">
        <v>54</v>
      </c>
      <c r="F111" s="19">
        <v>1.0</v>
      </c>
    </row>
    <row r="112" ht="22.5" customHeight="1">
      <c r="B112" s="17">
        <v>2.0</v>
      </c>
      <c r="C112" s="18" t="s">
        <v>35</v>
      </c>
      <c r="D112" s="17" t="s">
        <v>91</v>
      </c>
      <c r="E112" s="18" t="s">
        <v>54</v>
      </c>
      <c r="F112" s="19">
        <v>1.0</v>
      </c>
    </row>
    <row r="113" ht="22.5" customHeight="1">
      <c r="B113" s="17">
        <v>3.0</v>
      </c>
      <c r="C113" s="18" t="s">
        <v>35</v>
      </c>
      <c r="D113" s="17" t="s">
        <v>92</v>
      </c>
      <c r="E113" s="18" t="s">
        <v>54</v>
      </c>
      <c r="F113" s="19">
        <v>1.0</v>
      </c>
    </row>
    <row r="114" ht="22.5" customHeight="1">
      <c r="B114" s="17">
        <v>4.0</v>
      </c>
      <c r="C114" s="18" t="s">
        <v>35</v>
      </c>
      <c r="D114" s="17" t="s">
        <v>93</v>
      </c>
      <c r="E114" s="18" t="s">
        <v>54</v>
      </c>
      <c r="F114" s="19">
        <v>1.0</v>
      </c>
    </row>
    <row r="115" ht="22.5" customHeight="1">
      <c r="B115" s="17">
        <v>5.0</v>
      </c>
      <c r="C115" s="18" t="s">
        <v>35</v>
      </c>
      <c r="D115" s="17" t="s">
        <v>94</v>
      </c>
      <c r="E115" s="18" t="s">
        <v>54</v>
      </c>
      <c r="F115" s="19">
        <v>1.0</v>
      </c>
    </row>
    <row r="116" ht="22.5" customHeight="1">
      <c r="B116" s="17">
        <v>6.0</v>
      </c>
      <c r="C116" s="17" t="s">
        <v>35</v>
      </c>
      <c r="D116" s="17" t="s">
        <v>95</v>
      </c>
      <c r="E116" s="18" t="s">
        <v>54</v>
      </c>
      <c r="F116" s="19">
        <v>1.0</v>
      </c>
    </row>
    <row r="117" ht="22.5" customHeight="1">
      <c r="B117" s="17">
        <v>7.0</v>
      </c>
      <c r="C117" s="18" t="s">
        <v>35</v>
      </c>
      <c r="D117" s="17" t="s">
        <v>96</v>
      </c>
      <c r="E117" s="18" t="s">
        <v>54</v>
      </c>
      <c r="F117" s="19">
        <v>1.0</v>
      </c>
    </row>
    <row r="118" ht="22.5" customHeight="1">
      <c r="B118" s="17">
        <v>8.0</v>
      </c>
      <c r="C118" s="18" t="s">
        <v>35</v>
      </c>
      <c r="D118" s="17" t="s">
        <v>97</v>
      </c>
      <c r="E118" s="18" t="s">
        <v>52</v>
      </c>
      <c r="F118" s="19">
        <v>1.0</v>
      </c>
    </row>
    <row r="119" ht="22.5" customHeight="1">
      <c r="B119" s="17">
        <v>9.0</v>
      </c>
      <c r="C119" s="18" t="s">
        <v>35</v>
      </c>
      <c r="D119" s="17" t="s">
        <v>86</v>
      </c>
      <c r="E119" s="18" t="s">
        <v>54</v>
      </c>
      <c r="F119" s="19">
        <v>1.0</v>
      </c>
    </row>
    <row r="120" ht="22.5" customHeight="1">
      <c r="B120" s="11">
        <v>1.0</v>
      </c>
      <c r="C120" s="12" t="s">
        <v>36</v>
      </c>
      <c r="D120" s="11" t="s">
        <v>50</v>
      </c>
      <c r="E120" s="12" t="s">
        <v>54</v>
      </c>
      <c r="F120" s="13">
        <v>1.0</v>
      </c>
    </row>
    <row r="121" ht="22.5" customHeight="1">
      <c r="B121" s="11">
        <v>2.0</v>
      </c>
      <c r="C121" s="12" t="s">
        <v>36</v>
      </c>
      <c r="D121" s="11" t="s">
        <v>91</v>
      </c>
      <c r="E121" s="12" t="s">
        <v>54</v>
      </c>
      <c r="F121" s="13">
        <v>1.0</v>
      </c>
    </row>
    <row r="122" ht="22.5" customHeight="1">
      <c r="B122" s="11">
        <v>3.0</v>
      </c>
      <c r="C122" s="12" t="s">
        <v>36</v>
      </c>
      <c r="D122" s="11" t="s">
        <v>92</v>
      </c>
      <c r="E122" s="12" t="s">
        <v>54</v>
      </c>
      <c r="F122" s="13">
        <v>1.0</v>
      </c>
    </row>
    <row r="123" ht="22.5" customHeight="1">
      <c r="B123" s="11">
        <v>4.0</v>
      </c>
      <c r="C123" s="12" t="s">
        <v>36</v>
      </c>
      <c r="D123" s="11" t="s">
        <v>98</v>
      </c>
      <c r="E123" s="12" t="s">
        <v>54</v>
      </c>
      <c r="F123" s="13">
        <v>1.0</v>
      </c>
    </row>
    <row r="124" ht="22.5" customHeight="1">
      <c r="B124" s="11">
        <v>5.0</v>
      </c>
      <c r="C124" s="12" t="s">
        <v>36</v>
      </c>
      <c r="D124" s="11" t="s">
        <v>99</v>
      </c>
      <c r="E124" s="12" t="s">
        <v>54</v>
      </c>
      <c r="F124" s="13">
        <v>1.0</v>
      </c>
    </row>
    <row r="125" ht="22.5" customHeight="1">
      <c r="B125" s="11">
        <v>6.0</v>
      </c>
      <c r="C125" s="11" t="s">
        <v>36</v>
      </c>
      <c r="D125" s="11" t="s">
        <v>95</v>
      </c>
      <c r="E125" s="12" t="s">
        <v>54</v>
      </c>
      <c r="F125" s="13">
        <v>1.0</v>
      </c>
    </row>
    <row r="126" ht="22.5" customHeight="1">
      <c r="B126" s="11">
        <v>7.0</v>
      </c>
      <c r="C126" s="12" t="s">
        <v>36</v>
      </c>
      <c r="D126" s="11" t="s">
        <v>100</v>
      </c>
      <c r="E126" s="12" t="s">
        <v>54</v>
      </c>
      <c r="F126" s="13">
        <v>1.0</v>
      </c>
    </row>
    <row r="127" ht="22.5" customHeight="1">
      <c r="B127" s="11">
        <v>8.0</v>
      </c>
      <c r="C127" s="12" t="s">
        <v>36</v>
      </c>
      <c r="D127" s="11" t="s">
        <v>97</v>
      </c>
      <c r="E127" s="12" t="s">
        <v>52</v>
      </c>
      <c r="F127" s="13">
        <v>1.0</v>
      </c>
    </row>
    <row r="128" ht="22.5" customHeight="1">
      <c r="B128" s="11">
        <v>9.0</v>
      </c>
      <c r="C128" s="12" t="s">
        <v>36</v>
      </c>
      <c r="D128" s="11" t="s">
        <v>88</v>
      </c>
      <c r="E128" s="12" t="s">
        <v>54</v>
      </c>
      <c r="F128" s="13">
        <v>1.0</v>
      </c>
    </row>
    <row r="129" ht="22.5" customHeight="1">
      <c r="B129" s="17">
        <v>1.0</v>
      </c>
      <c r="C129" s="18" t="s">
        <v>37</v>
      </c>
      <c r="D129" s="17" t="s">
        <v>50</v>
      </c>
      <c r="E129" s="18" t="s">
        <v>54</v>
      </c>
      <c r="F129" s="19">
        <v>1.0</v>
      </c>
    </row>
    <row r="130" ht="22.5" customHeight="1">
      <c r="B130" s="17">
        <v>2.0</v>
      </c>
      <c r="C130" s="18" t="s">
        <v>37</v>
      </c>
      <c r="D130" s="17" t="s">
        <v>91</v>
      </c>
      <c r="E130" s="18" t="s">
        <v>54</v>
      </c>
      <c r="F130" s="19">
        <v>1.0</v>
      </c>
    </row>
    <row r="131" ht="22.5" customHeight="1">
      <c r="B131" s="17">
        <v>3.0</v>
      </c>
      <c r="C131" s="18" t="s">
        <v>37</v>
      </c>
      <c r="D131" s="17" t="s">
        <v>92</v>
      </c>
      <c r="E131" s="18" t="s">
        <v>54</v>
      </c>
      <c r="F131" s="19">
        <v>1.0</v>
      </c>
    </row>
    <row r="132" ht="22.5" customHeight="1">
      <c r="B132" s="17">
        <v>4.0</v>
      </c>
      <c r="C132" s="18" t="s">
        <v>37</v>
      </c>
      <c r="D132" s="17" t="s">
        <v>101</v>
      </c>
      <c r="E132" s="18" t="s">
        <v>54</v>
      </c>
      <c r="F132" s="19">
        <v>1.0</v>
      </c>
    </row>
    <row r="133" ht="22.5" customHeight="1">
      <c r="B133" s="17">
        <v>5.0</v>
      </c>
      <c r="C133" s="18" t="s">
        <v>37</v>
      </c>
      <c r="D133" s="17" t="s">
        <v>94</v>
      </c>
      <c r="E133" s="18" t="s">
        <v>54</v>
      </c>
      <c r="F133" s="19">
        <v>1.0</v>
      </c>
    </row>
    <row r="134" ht="22.5" customHeight="1">
      <c r="B134" s="17">
        <v>6.0</v>
      </c>
      <c r="C134" s="17" t="s">
        <v>37</v>
      </c>
      <c r="D134" s="17" t="s">
        <v>95</v>
      </c>
      <c r="E134" s="18" t="s">
        <v>54</v>
      </c>
      <c r="F134" s="19">
        <v>1.0</v>
      </c>
    </row>
    <row r="135" ht="22.5" customHeight="1">
      <c r="B135" s="17">
        <v>7.0</v>
      </c>
      <c r="C135" s="18" t="s">
        <v>37</v>
      </c>
      <c r="D135" s="17" t="s">
        <v>102</v>
      </c>
      <c r="E135" s="18" t="s">
        <v>54</v>
      </c>
      <c r="F135" s="19">
        <v>1.0</v>
      </c>
    </row>
    <row r="136" ht="22.5" customHeight="1">
      <c r="B136" s="17">
        <v>8.0</v>
      </c>
      <c r="C136" s="18" t="s">
        <v>37</v>
      </c>
      <c r="D136" s="17" t="s">
        <v>97</v>
      </c>
      <c r="E136" s="18" t="s">
        <v>52</v>
      </c>
      <c r="F136" s="19">
        <v>1.0</v>
      </c>
    </row>
    <row r="137" ht="22.5" customHeight="1">
      <c r="B137" s="17">
        <v>9.0</v>
      </c>
      <c r="C137" s="18" t="s">
        <v>37</v>
      </c>
      <c r="D137" s="17" t="s">
        <v>90</v>
      </c>
      <c r="E137" s="18" t="s">
        <v>54</v>
      </c>
      <c r="F137" s="19">
        <v>1.0</v>
      </c>
    </row>
    <row r="138" ht="22.5" customHeight="1">
      <c r="B138" s="11">
        <v>1.0</v>
      </c>
      <c r="C138" s="11" t="s">
        <v>103</v>
      </c>
      <c r="D138" s="11" t="s">
        <v>50</v>
      </c>
      <c r="E138" s="12" t="s">
        <v>54</v>
      </c>
      <c r="F138" s="13">
        <v>1.0</v>
      </c>
    </row>
    <row r="139" ht="22.5" customHeight="1">
      <c r="B139" s="11">
        <v>2.0</v>
      </c>
      <c r="C139" s="11" t="s">
        <v>103</v>
      </c>
      <c r="D139" s="11" t="s">
        <v>104</v>
      </c>
      <c r="E139" s="12" t="s">
        <v>54</v>
      </c>
      <c r="F139" s="13">
        <v>1.0</v>
      </c>
    </row>
    <row r="140" ht="22.5" customHeight="1">
      <c r="B140" s="11">
        <v>3.0</v>
      </c>
      <c r="C140" s="11" t="s">
        <v>103</v>
      </c>
      <c r="D140" s="11" t="s">
        <v>105</v>
      </c>
      <c r="E140" s="12" t="s">
        <v>106</v>
      </c>
      <c r="F140" s="13">
        <v>200.0</v>
      </c>
    </row>
    <row r="141" ht="22.5" customHeight="1">
      <c r="B141" s="11">
        <v>4.0</v>
      </c>
      <c r="C141" s="11" t="s">
        <v>103</v>
      </c>
      <c r="D141" s="11" t="s">
        <v>107</v>
      </c>
      <c r="E141" s="12" t="s">
        <v>54</v>
      </c>
      <c r="F141" s="13">
        <v>1.0</v>
      </c>
    </row>
    <row r="142" ht="22.5" customHeight="1">
      <c r="B142" s="17">
        <v>1.0</v>
      </c>
      <c r="C142" s="17" t="s">
        <v>108</v>
      </c>
      <c r="D142" s="17" t="s">
        <v>50</v>
      </c>
      <c r="E142" s="18" t="s">
        <v>54</v>
      </c>
      <c r="F142" s="19">
        <v>1.0</v>
      </c>
    </row>
    <row r="143" ht="22.5" customHeight="1">
      <c r="B143" s="17">
        <v>2.0</v>
      </c>
      <c r="C143" s="17" t="s">
        <v>108</v>
      </c>
      <c r="D143" s="17" t="s">
        <v>104</v>
      </c>
      <c r="E143" s="18" t="s">
        <v>54</v>
      </c>
      <c r="F143" s="19">
        <v>1.0</v>
      </c>
    </row>
    <row r="144" ht="22.5" customHeight="1">
      <c r="B144" s="17">
        <v>3.0</v>
      </c>
      <c r="C144" s="17" t="s">
        <v>108</v>
      </c>
      <c r="D144" s="17" t="s">
        <v>109</v>
      </c>
      <c r="E144" s="18" t="s">
        <v>106</v>
      </c>
      <c r="F144" s="19">
        <v>37.0</v>
      </c>
    </row>
    <row r="145" ht="22.5" customHeight="1">
      <c r="B145" s="17">
        <v>4.0</v>
      </c>
      <c r="C145" s="17" t="s">
        <v>108</v>
      </c>
      <c r="D145" s="17" t="s">
        <v>110</v>
      </c>
      <c r="E145" s="18" t="s">
        <v>54</v>
      </c>
      <c r="F145" s="19">
        <v>1.0</v>
      </c>
    </row>
    <row r="146" ht="22.5" customHeight="1">
      <c r="B146" s="11">
        <v>1.0</v>
      </c>
      <c r="C146" s="11" t="s">
        <v>111</v>
      </c>
      <c r="D146" s="11" t="s">
        <v>50</v>
      </c>
      <c r="E146" s="12" t="s">
        <v>54</v>
      </c>
      <c r="F146" s="13">
        <v>1.0</v>
      </c>
    </row>
    <row r="147" ht="22.5" customHeight="1">
      <c r="B147" s="11">
        <v>2.0</v>
      </c>
      <c r="C147" s="11" t="s">
        <v>111</v>
      </c>
      <c r="D147" s="11" t="s">
        <v>112</v>
      </c>
      <c r="E147" s="12" t="s">
        <v>54</v>
      </c>
      <c r="F147" s="13">
        <v>1.0</v>
      </c>
    </row>
    <row r="148" ht="22.5" customHeight="1">
      <c r="B148" s="11">
        <v>3.0</v>
      </c>
      <c r="C148" s="11" t="s">
        <v>111</v>
      </c>
      <c r="D148" s="11" t="s">
        <v>12</v>
      </c>
      <c r="E148" s="12" t="s">
        <v>106</v>
      </c>
      <c r="F148" s="13">
        <v>150.0</v>
      </c>
    </row>
    <row r="149" ht="22.5" customHeight="1">
      <c r="B149" s="11">
        <v>4.0</v>
      </c>
      <c r="C149" s="11" t="s">
        <v>111</v>
      </c>
      <c r="D149" s="11" t="s">
        <v>113</v>
      </c>
      <c r="E149" s="12" t="s">
        <v>54</v>
      </c>
      <c r="F149" s="13">
        <v>1.0</v>
      </c>
    </row>
    <row r="150" ht="22.5" customHeight="1">
      <c r="B150" s="17">
        <v>1.0</v>
      </c>
      <c r="C150" s="17" t="s">
        <v>114</v>
      </c>
      <c r="D150" s="17" t="s">
        <v>115</v>
      </c>
      <c r="E150" s="18" t="s">
        <v>52</v>
      </c>
      <c r="F150" s="19">
        <v>8.0</v>
      </c>
    </row>
    <row r="151" ht="22.5" customHeight="1">
      <c r="B151" s="20">
        <v>1.0</v>
      </c>
      <c r="C151" s="20" t="s">
        <v>25</v>
      </c>
      <c r="D151" s="20" t="s">
        <v>116</v>
      </c>
      <c r="E151" s="21" t="s">
        <v>54</v>
      </c>
      <c r="F151" s="22">
        <v>1.0</v>
      </c>
    </row>
    <row r="152" ht="22.5" customHeight="1">
      <c r="B152" s="20">
        <v>2.0</v>
      </c>
      <c r="C152" s="20" t="s">
        <v>25</v>
      </c>
      <c r="D152" s="20" t="s">
        <v>117</v>
      </c>
      <c r="E152" s="21" t="s">
        <v>54</v>
      </c>
      <c r="F152" s="22">
        <v>1.0</v>
      </c>
    </row>
    <row r="153" ht="22.5" customHeight="1">
      <c r="B153" s="17">
        <v>1.0</v>
      </c>
      <c r="C153" s="17" t="s">
        <v>118</v>
      </c>
      <c r="D153" s="17" t="s">
        <v>76</v>
      </c>
      <c r="E153" s="18" t="s">
        <v>54</v>
      </c>
      <c r="F153" s="19">
        <v>21.0</v>
      </c>
    </row>
    <row r="154" ht="22.5" customHeight="1">
      <c r="B154" s="17">
        <v>2.0</v>
      </c>
      <c r="C154" s="17" t="s">
        <v>118</v>
      </c>
      <c r="D154" s="17" t="s">
        <v>50</v>
      </c>
      <c r="E154" s="18" t="s">
        <v>54</v>
      </c>
      <c r="F154" s="19">
        <v>1.0</v>
      </c>
    </row>
    <row r="155" ht="22.5" customHeight="1">
      <c r="B155" s="17">
        <v>3.0</v>
      </c>
      <c r="C155" s="17" t="s">
        <v>118</v>
      </c>
      <c r="D155" s="17" t="s">
        <v>119</v>
      </c>
      <c r="E155" s="18" t="s">
        <v>54</v>
      </c>
      <c r="F155" s="19">
        <v>1.0</v>
      </c>
    </row>
    <row r="156" ht="22.5" customHeight="1">
      <c r="B156" s="14">
        <v>1.0</v>
      </c>
      <c r="C156" s="14" t="s">
        <v>120</v>
      </c>
      <c r="D156" s="14" t="s">
        <v>121</v>
      </c>
      <c r="E156" s="15" t="s">
        <v>54</v>
      </c>
      <c r="F156" s="16">
        <v>50.0</v>
      </c>
    </row>
    <row r="157" ht="22.5" customHeight="1">
      <c r="B157" s="14">
        <v>2.0</v>
      </c>
      <c r="C157" s="14" t="s">
        <v>120</v>
      </c>
      <c r="D157" s="14" t="s">
        <v>50</v>
      </c>
      <c r="E157" s="15" t="s">
        <v>54</v>
      </c>
      <c r="F157" s="16">
        <v>1.0</v>
      </c>
    </row>
    <row r="158" ht="22.5" customHeight="1">
      <c r="B158" s="14">
        <v>3.0</v>
      </c>
      <c r="C158" s="14" t="s">
        <v>120</v>
      </c>
      <c r="D158" s="14" t="s">
        <v>122</v>
      </c>
      <c r="E158" s="15" t="s">
        <v>54</v>
      </c>
      <c r="F158" s="16">
        <v>1.0</v>
      </c>
    </row>
    <row r="159" ht="22.5" customHeight="1">
      <c r="B159" s="20">
        <v>1.0</v>
      </c>
      <c r="C159" s="20" t="s">
        <v>123</v>
      </c>
      <c r="D159" s="20" t="s">
        <v>124</v>
      </c>
      <c r="E159" s="21" t="s">
        <v>54</v>
      </c>
      <c r="F159" s="22">
        <v>25.0</v>
      </c>
    </row>
    <row r="160" ht="22.5" customHeight="1">
      <c r="B160" s="20">
        <v>2.0</v>
      </c>
      <c r="C160" s="20" t="s">
        <v>123</v>
      </c>
      <c r="D160" s="20" t="s">
        <v>50</v>
      </c>
      <c r="E160" s="21" t="s">
        <v>54</v>
      </c>
      <c r="F160" s="22">
        <v>1.0</v>
      </c>
    </row>
    <row r="161" ht="22.5" customHeight="1">
      <c r="B161" s="20">
        <v>3.0</v>
      </c>
      <c r="C161" s="20" t="s">
        <v>123</v>
      </c>
      <c r="D161" s="20" t="s">
        <v>125</v>
      </c>
      <c r="E161" s="21" t="s">
        <v>54</v>
      </c>
      <c r="F161" s="22">
        <v>1.0</v>
      </c>
    </row>
    <row r="162" ht="22.5" customHeight="1">
      <c r="B162" s="17">
        <v>1.0</v>
      </c>
      <c r="C162" s="17" t="s">
        <v>126</v>
      </c>
      <c r="D162" s="17" t="s">
        <v>50</v>
      </c>
      <c r="E162" s="18" t="s">
        <v>54</v>
      </c>
      <c r="F162" s="19">
        <v>1.0</v>
      </c>
    </row>
    <row r="163" ht="22.5" customHeight="1">
      <c r="B163" s="17">
        <v>2.0</v>
      </c>
      <c r="C163" s="17" t="s">
        <v>126</v>
      </c>
      <c r="D163" s="17" t="s">
        <v>127</v>
      </c>
      <c r="E163" s="18" t="s">
        <v>54</v>
      </c>
      <c r="F163" s="19">
        <v>1.0</v>
      </c>
    </row>
    <row r="164" ht="22.5" customHeight="1">
      <c r="B164" s="17">
        <v>3.0</v>
      </c>
      <c r="C164" s="17" t="s">
        <v>126</v>
      </c>
      <c r="D164" s="17" t="s">
        <v>128</v>
      </c>
      <c r="E164" s="18" t="s">
        <v>52</v>
      </c>
      <c r="F164" s="19">
        <v>945.0</v>
      </c>
    </row>
    <row r="165" ht="22.5" customHeight="1">
      <c r="B165" s="17">
        <v>4.0</v>
      </c>
      <c r="C165" s="17" t="s">
        <v>126</v>
      </c>
      <c r="D165" s="17" t="s">
        <v>129</v>
      </c>
      <c r="E165" s="18" t="s">
        <v>52</v>
      </c>
      <c r="F165" s="19">
        <v>1.0</v>
      </c>
    </row>
    <row r="166" ht="22.5" customHeight="1">
      <c r="B166" s="17">
        <v>5.0</v>
      </c>
      <c r="C166" s="17" t="s">
        <v>126</v>
      </c>
      <c r="D166" s="17" t="s">
        <v>130</v>
      </c>
      <c r="E166" s="18" t="s">
        <v>52</v>
      </c>
      <c r="F166" s="19">
        <v>1.0</v>
      </c>
    </row>
    <row r="167" ht="22.5" customHeight="1">
      <c r="B167" s="17">
        <v>6.0</v>
      </c>
      <c r="C167" s="17" t="s">
        <v>126</v>
      </c>
      <c r="D167" s="17" t="s">
        <v>131</v>
      </c>
      <c r="E167" s="18" t="s">
        <v>52</v>
      </c>
      <c r="F167" s="19">
        <v>1.0</v>
      </c>
    </row>
    <row r="168" ht="22.5" customHeight="1">
      <c r="B168" s="20">
        <v>1.0</v>
      </c>
      <c r="C168" s="20" t="s">
        <v>132</v>
      </c>
      <c r="D168" s="20" t="s">
        <v>133</v>
      </c>
      <c r="E168" s="21" t="s">
        <v>106</v>
      </c>
      <c r="F168" s="22">
        <v>175.0</v>
      </c>
    </row>
    <row r="169" ht="22.5" customHeight="1">
      <c r="B169" s="20">
        <v>2.0</v>
      </c>
      <c r="C169" s="20" t="s">
        <v>132</v>
      </c>
      <c r="D169" s="20" t="s">
        <v>134</v>
      </c>
      <c r="E169" s="21" t="s">
        <v>54</v>
      </c>
      <c r="F169" s="22">
        <v>1.0</v>
      </c>
    </row>
    <row r="170" ht="22.5" customHeight="1">
      <c r="B170" s="20">
        <v>3.0</v>
      </c>
      <c r="C170" s="20" t="s">
        <v>132</v>
      </c>
      <c r="D170" s="20" t="s">
        <v>104</v>
      </c>
      <c r="E170" s="21" t="s">
        <v>54</v>
      </c>
      <c r="F170" s="22">
        <v>1.0</v>
      </c>
    </row>
    <row r="171" ht="22.5" customHeight="1">
      <c r="B171" s="20">
        <v>4.0</v>
      </c>
      <c r="C171" s="20" t="s">
        <v>132</v>
      </c>
      <c r="D171" s="20" t="s">
        <v>50</v>
      </c>
      <c r="E171" s="21" t="s">
        <v>54</v>
      </c>
      <c r="F171" s="22">
        <v>1.0</v>
      </c>
    </row>
    <row r="172" ht="22.5" customHeight="1">
      <c r="B172" s="17">
        <v>1.0</v>
      </c>
      <c r="C172" s="17" t="s">
        <v>135</v>
      </c>
      <c r="D172" s="18" t="s">
        <v>133</v>
      </c>
      <c r="E172" s="18" t="s">
        <v>106</v>
      </c>
      <c r="F172" s="19">
        <v>300.0</v>
      </c>
    </row>
    <row r="173" ht="22.5" customHeight="1">
      <c r="B173" s="17">
        <v>2.0</v>
      </c>
      <c r="C173" s="17" t="s">
        <v>135</v>
      </c>
      <c r="D173" s="17" t="s">
        <v>136</v>
      </c>
      <c r="E173" s="18" t="s">
        <v>54</v>
      </c>
      <c r="F173" s="19">
        <v>1.0</v>
      </c>
    </row>
    <row r="174" ht="22.5" customHeight="1">
      <c r="B174" s="17">
        <v>3.0</v>
      </c>
      <c r="C174" s="17" t="s">
        <v>135</v>
      </c>
      <c r="D174" s="17" t="s">
        <v>127</v>
      </c>
      <c r="E174" s="18" t="s">
        <v>54</v>
      </c>
      <c r="F174" s="19">
        <v>1.0</v>
      </c>
    </row>
    <row r="175" ht="22.5" customHeight="1">
      <c r="B175" s="17">
        <v>4.0</v>
      </c>
      <c r="C175" s="17" t="s">
        <v>135</v>
      </c>
      <c r="D175" s="18" t="s">
        <v>50</v>
      </c>
      <c r="E175" s="18" t="s">
        <v>54</v>
      </c>
      <c r="F175" s="19">
        <v>1.0</v>
      </c>
    </row>
    <row r="176" ht="22.5" customHeight="1">
      <c r="B176" s="20">
        <v>1.0</v>
      </c>
      <c r="C176" s="20" t="s">
        <v>137</v>
      </c>
      <c r="D176" s="21" t="s">
        <v>133</v>
      </c>
      <c r="E176" s="20" t="s">
        <v>106</v>
      </c>
      <c r="F176" s="22">
        <v>800.0</v>
      </c>
    </row>
    <row r="177" ht="22.5" customHeight="1">
      <c r="B177" s="20">
        <v>2.0</v>
      </c>
      <c r="C177" s="20" t="s">
        <v>137</v>
      </c>
      <c r="D177" s="20" t="s">
        <v>138</v>
      </c>
      <c r="E177" s="20" t="s">
        <v>54</v>
      </c>
      <c r="F177" s="22">
        <v>1.0</v>
      </c>
    </row>
    <row r="178" ht="22.5" customHeight="1">
      <c r="B178" s="20">
        <v>3.0</v>
      </c>
      <c r="C178" s="20" t="s">
        <v>137</v>
      </c>
      <c r="D178" s="20" t="s">
        <v>127</v>
      </c>
      <c r="E178" s="20" t="s">
        <v>54</v>
      </c>
      <c r="F178" s="22">
        <v>1.0</v>
      </c>
    </row>
    <row r="179" ht="22.5" customHeight="1">
      <c r="B179" s="20">
        <v>4.0</v>
      </c>
      <c r="C179" s="20" t="s">
        <v>137</v>
      </c>
      <c r="D179" s="21" t="s">
        <v>50</v>
      </c>
      <c r="E179" s="20" t="s">
        <v>54</v>
      </c>
      <c r="F179" s="22">
        <v>1.0</v>
      </c>
    </row>
    <row r="180" ht="22.5" customHeight="1">
      <c r="B180" s="17">
        <v>1.0</v>
      </c>
      <c r="C180" s="17" t="s">
        <v>139</v>
      </c>
      <c r="D180" s="17" t="s">
        <v>50</v>
      </c>
      <c r="E180" s="17" t="s">
        <v>54</v>
      </c>
      <c r="F180" s="19">
        <v>1.0</v>
      </c>
    </row>
    <row r="181" ht="22.5" customHeight="1">
      <c r="B181" s="17">
        <v>2.0</v>
      </c>
      <c r="C181" s="17" t="s">
        <v>139</v>
      </c>
      <c r="D181" s="17" t="s">
        <v>112</v>
      </c>
      <c r="E181" s="17" t="s">
        <v>54</v>
      </c>
      <c r="F181" s="19">
        <v>1.0</v>
      </c>
    </row>
    <row r="182" ht="22.5" customHeight="1">
      <c r="B182" s="17">
        <v>3.0</v>
      </c>
      <c r="C182" s="17" t="s">
        <v>139</v>
      </c>
      <c r="D182" s="17" t="s">
        <v>12</v>
      </c>
      <c r="E182" s="17" t="s">
        <v>106</v>
      </c>
      <c r="F182" s="19">
        <v>250.0</v>
      </c>
    </row>
    <row r="183" ht="22.5" customHeight="1">
      <c r="B183" s="17">
        <v>4.0</v>
      </c>
      <c r="C183" s="17" t="s">
        <v>139</v>
      </c>
      <c r="D183" s="17" t="s">
        <v>113</v>
      </c>
      <c r="E183" s="17" t="s">
        <v>54</v>
      </c>
      <c r="F183" s="19">
        <v>1.0</v>
      </c>
    </row>
    <row r="184" ht="22.5" customHeight="1">
      <c r="B184" s="20">
        <v>1.0</v>
      </c>
      <c r="C184" s="20" t="s">
        <v>140</v>
      </c>
      <c r="D184" s="20" t="s">
        <v>50</v>
      </c>
      <c r="E184" s="20" t="s">
        <v>54</v>
      </c>
      <c r="F184" s="22">
        <v>1.0</v>
      </c>
    </row>
    <row r="185" ht="22.5" customHeight="1">
      <c r="B185" s="20">
        <v>2.0</v>
      </c>
      <c r="C185" s="20" t="s">
        <v>140</v>
      </c>
      <c r="D185" s="20" t="s">
        <v>127</v>
      </c>
      <c r="E185" s="20" t="s">
        <v>54</v>
      </c>
      <c r="F185" s="22">
        <v>1.0</v>
      </c>
    </row>
    <row r="186" ht="22.5" customHeight="1">
      <c r="B186" s="20">
        <v>3.0</v>
      </c>
      <c r="C186" s="20" t="s">
        <v>140</v>
      </c>
      <c r="D186" s="20" t="s">
        <v>141</v>
      </c>
      <c r="E186" s="20" t="s">
        <v>106</v>
      </c>
      <c r="F186" s="22">
        <v>1000.0</v>
      </c>
    </row>
    <row r="187" ht="22.5" customHeight="1">
      <c r="B187" s="20">
        <v>4.0</v>
      </c>
      <c r="C187" s="20" t="s">
        <v>140</v>
      </c>
      <c r="D187" s="20" t="s">
        <v>142</v>
      </c>
      <c r="E187" s="20" t="s">
        <v>54</v>
      </c>
      <c r="F187" s="22">
        <v>1.0</v>
      </c>
    </row>
    <row r="188" ht="22.5" customHeight="1">
      <c r="B188" s="28">
        <v>1.0</v>
      </c>
      <c r="C188" s="17" t="s">
        <v>143</v>
      </c>
      <c r="D188" s="28" t="s">
        <v>50</v>
      </c>
      <c r="E188" s="28" t="s">
        <v>54</v>
      </c>
      <c r="F188" s="29">
        <v>1.0</v>
      </c>
    </row>
    <row r="189" ht="22.5" customHeight="1">
      <c r="B189" s="28">
        <v>2.0</v>
      </c>
      <c r="C189" s="17" t="s">
        <v>143</v>
      </c>
      <c r="D189" s="28" t="s">
        <v>127</v>
      </c>
      <c r="E189" s="28" t="s">
        <v>54</v>
      </c>
      <c r="F189" s="29">
        <v>1.0</v>
      </c>
    </row>
    <row r="190" ht="22.5" customHeight="1">
      <c r="B190" s="28">
        <v>3.0</v>
      </c>
      <c r="C190" s="17" t="s">
        <v>143</v>
      </c>
      <c r="D190" s="17" t="s">
        <v>144</v>
      </c>
      <c r="E190" s="17" t="s">
        <v>106</v>
      </c>
      <c r="F190" s="29">
        <v>945.0</v>
      </c>
    </row>
    <row r="191" ht="22.5" customHeight="1">
      <c r="B191" s="17">
        <v>4.0</v>
      </c>
      <c r="C191" s="17" t="s">
        <v>143</v>
      </c>
      <c r="D191" s="17" t="s">
        <v>145</v>
      </c>
      <c r="E191" s="17" t="s">
        <v>106</v>
      </c>
      <c r="F191" s="19">
        <v>1.0</v>
      </c>
    </row>
    <row r="192" ht="22.5" customHeight="1">
      <c r="B192" s="30">
        <v>1.0</v>
      </c>
      <c r="C192" s="11" t="s">
        <v>146</v>
      </c>
      <c r="D192" s="30" t="s">
        <v>50</v>
      </c>
      <c r="E192" s="30" t="s">
        <v>54</v>
      </c>
      <c r="F192" s="31">
        <v>1.0</v>
      </c>
    </row>
    <row r="193" ht="22.5" customHeight="1">
      <c r="B193" s="30">
        <v>2.0</v>
      </c>
      <c r="C193" s="11" t="s">
        <v>146</v>
      </c>
      <c r="D193" s="30" t="s">
        <v>127</v>
      </c>
      <c r="E193" s="30" t="s">
        <v>54</v>
      </c>
      <c r="F193" s="31">
        <v>1.0</v>
      </c>
    </row>
    <row r="194" ht="22.5" customHeight="1">
      <c r="B194" s="30">
        <v>3.0</v>
      </c>
      <c r="C194" s="11" t="s">
        <v>146</v>
      </c>
      <c r="D194" s="11" t="s">
        <v>144</v>
      </c>
      <c r="E194" s="30" t="s">
        <v>106</v>
      </c>
      <c r="F194" s="13">
        <v>1500.0</v>
      </c>
    </row>
    <row r="195" ht="22.5" customHeight="1">
      <c r="B195" s="11">
        <v>4.0</v>
      </c>
      <c r="C195" s="11" t="s">
        <v>146</v>
      </c>
      <c r="D195" s="11" t="s">
        <v>145</v>
      </c>
      <c r="E195" s="11" t="s">
        <v>106</v>
      </c>
      <c r="F195" s="13">
        <v>1.0</v>
      </c>
    </row>
    <row r="196" ht="22.5" customHeight="1">
      <c r="B196" s="17">
        <v>1.0</v>
      </c>
      <c r="C196" s="17" t="s">
        <v>147</v>
      </c>
      <c r="D196" s="17" t="s">
        <v>50</v>
      </c>
      <c r="E196" s="17" t="s">
        <v>54</v>
      </c>
      <c r="F196" s="19">
        <v>1.0</v>
      </c>
    </row>
    <row r="197" ht="22.5" customHeight="1">
      <c r="B197" s="17">
        <v>2.0</v>
      </c>
      <c r="C197" s="17" t="s">
        <v>147</v>
      </c>
      <c r="D197" s="17" t="s">
        <v>127</v>
      </c>
      <c r="E197" s="17" t="s">
        <v>54</v>
      </c>
      <c r="F197" s="19">
        <v>1.0</v>
      </c>
    </row>
    <row r="198" ht="22.5" customHeight="1">
      <c r="B198" s="17">
        <v>3.0</v>
      </c>
      <c r="C198" s="17" t="s">
        <v>147</v>
      </c>
      <c r="D198" s="17" t="s">
        <v>109</v>
      </c>
      <c r="E198" s="17" t="s">
        <v>106</v>
      </c>
      <c r="F198" s="19">
        <v>150.0</v>
      </c>
    </row>
    <row r="199" ht="22.5" customHeight="1">
      <c r="B199" s="17">
        <v>4.0</v>
      </c>
      <c r="C199" s="17" t="s">
        <v>147</v>
      </c>
      <c r="D199" s="17" t="s">
        <v>148</v>
      </c>
      <c r="E199" s="17" t="s">
        <v>54</v>
      </c>
      <c r="F199" s="19">
        <v>1.0</v>
      </c>
    </row>
    <row r="200" ht="22.5" customHeight="1">
      <c r="B200" s="17">
        <v>5.0</v>
      </c>
      <c r="C200" s="17" t="s">
        <v>147</v>
      </c>
      <c r="D200" s="17" t="s">
        <v>149</v>
      </c>
      <c r="E200" s="17" t="s">
        <v>106</v>
      </c>
      <c r="F200" s="19">
        <v>150.0</v>
      </c>
    </row>
    <row r="201" ht="22.5" customHeight="1">
      <c r="B201" s="17">
        <v>5.0</v>
      </c>
      <c r="C201" s="17" t="s">
        <v>108</v>
      </c>
      <c r="D201" s="17" t="s">
        <v>149</v>
      </c>
      <c r="E201" s="17" t="s">
        <v>106</v>
      </c>
      <c r="F201" s="19">
        <v>37.0</v>
      </c>
    </row>
  </sheetData>
  <dataValidations>
    <dataValidation type="custom" allowBlank="1" showDropDown="1" sqref="F3:F201">
      <formula1>AND(ISNUMBER(F3),(NOT(OR(NOT(ISERROR(DATEVALUE(F3))), AND(ISNUMBER(F3), LEFT(CELL("format", F3))="D")))))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25"/>
    <col customWidth="1" min="3" max="3" width="30.88"/>
    <col customWidth="1" min="4" max="4" width="27.25"/>
    <col customWidth="1" min="5" max="5" width="11.0"/>
    <col customWidth="1" min="6" max="6" width="12.13"/>
  </cols>
  <sheetData>
    <row r="2" ht="22.5" customHeight="1">
      <c r="B2" s="10" t="s">
        <v>150</v>
      </c>
      <c r="C2" s="32" t="s">
        <v>151</v>
      </c>
      <c r="D2" s="10" t="s">
        <v>47</v>
      </c>
      <c r="E2" s="10" t="s">
        <v>48</v>
      </c>
      <c r="F2" s="10" t="s">
        <v>49</v>
      </c>
    </row>
    <row r="3" ht="22.5" customHeight="1">
      <c r="B3" s="33">
        <v>45719.0</v>
      </c>
      <c r="C3" s="34" t="s">
        <v>50</v>
      </c>
      <c r="D3" s="35" t="str">
        <f>Compras[Seleccion]</f>
        <v>Tarjetas valoraciones</v>
      </c>
      <c r="E3" s="36" t="str">
        <f t="array" ref="E3:E467">XLOOKUP(Compras[Materia Prima],Materia_Prima[Materia prima],Materia_Prima[Medida], "No existe")</f>
        <v>unidad</v>
      </c>
      <c r="F3" s="37">
        <v>8280.0</v>
      </c>
    </row>
    <row r="4" ht="22.5" customHeight="1">
      <c r="B4" s="33">
        <v>45719.0</v>
      </c>
      <c r="C4" s="38" t="s">
        <v>55</v>
      </c>
      <c r="D4" s="35" t="str">
        <f>Compras[Seleccion]</f>
        <v>Calcio en pastillas tortugas</v>
      </c>
      <c r="E4" s="39" t="s">
        <v>54</v>
      </c>
      <c r="F4" s="35">
        <v>3200.0</v>
      </c>
    </row>
    <row r="5" ht="22.5" customHeight="1">
      <c r="B5" s="33">
        <v>45719.0</v>
      </c>
      <c r="C5" s="38" t="s">
        <v>152</v>
      </c>
      <c r="D5" s="35" t="str">
        <f>Compras[Seleccion]</f>
        <v>Bolsas calcio 4</v>
      </c>
      <c r="E5" s="39" t="s">
        <v>52</v>
      </c>
      <c r="F5" s="35">
        <v>2300.0</v>
      </c>
    </row>
    <row r="6" ht="22.5" customHeight="1">
      <c r="B6" s="33">
        <v>45719.0</v>
      </c>
      <c r="C6" s="38" t="s">
        <v>53</v>
      </c>
      <c r="D6" s="35" t="str">
        <f>Compras[Seleccion]</f>
        <v>Packaging calcio 4</v>
      </c>
      <c r="E6" s="39" t="s">
        <v>54</v>
      </c>
      <c r="F6" s="35">
        <v>4050.0</v>
      </c>
    </row>
    <row r="7" ht="22.5" customHeight="1">
      <c r="B7" s="33">
        <v>45719.0</v>
      </c>
      <c r="C7" s="38" t="s">
        <v>56</v>
      </c>
      <c r="D7" s="35" t="str">
        <f>Compras[Seleccion]</f>
        <v>Packaging calcio 8</v>
      </c>
      <c r="E7" s="39" t="s">
        <v>54</v>
      </c>
      <c r="F7" s="40">
        <v>645.0</v>
      </c>
    </row>
    <row r="8" ht="22.5" customHeight="1">
      <c r="B8" s="33">
        <v>45719.0</v>
      </c>
      <c r="C8" s="38" t="s">
        <v>57</v>
      </c>
      <c r="D8" s="35" t="str">
        <f>Compras[Seleccion]</f>
        <v>Packaging calcio 15</v>
      </c>
      <c r="E8" s="39" t="s">
        <v>54</v>
      </c>
      <c r="F8" s="41">
        <v>2375.0</v>
      </c>
    </row>
    <row r="9" ht="22.5" customHeight="1">
      <c r="B9" s="33">
        <v>45719.0</v>
      </c>
      <c r="C9" s="38" t="s">
        <v>51</v>
      </c>
      <c r="D9" s="35" t="str">
        <f>Compras[Seleccion]</f>
        <v>Pegatina redonda transparente</v>
      </c>
      <c r="E9" s="39" t="s">
        <v>52</v>
      </c>
      <c r="F9" s="41">
        <v>3365.0</v>
      </c>
    </row>
    <row r="10" ht="22.5" customHeight="1">
      <c r="B10" s="33">
        <v>45719.0</v>
      </c>
      <c r="C10" s="38" t="s">
        <v>58</v>
      </c>
      <c r="D10" s="35" t="str">
        <f>Compras[Seleccion]</f>
        <v>Bolsas Blister</v>
      </c>
      <c r="E10" s="39" t="s">
        <v>54</v>
      </c>
      <c r="F10" s="40">
        <v>5300.0</v>
      </c>
    </row>
    <row r="11" ht="22.5" customHeight="1">
      <c r="B11" s="33">
        <v>45719.0</v>
      </c>
      <c r="C11" s="38" t="s">
        <v>59</v>
      </c>
      <c r="D11" s="35" t="str">
        <f>Compras[Seleccion]</f>
        <v>Pegatina riesgo de asfixia</v>
      </c>
      <c r="E11" s="39" t="s">
        <v>52</v>
      </c>
      <c r="F11" s="41"/>
    </row>
    <row r="12" ht="22.5" customHeight="1">
      <c r="B12" s="33">
        <v>45719.0</v>
      </c>
      <c r="C12" s="38" t="s">
        <v>61</v>
      </c>
      <c r="D12" s="35" t="str">
        <f>Compras[Seleccion]</f>
        <v>Torre 125 Blister 2 euro</v>
      </c>
      <c r="E12" s="39" t="s">
        <v>54</v>
      </c>
      <c r="F12" s="40">
        <v>0.0</v>
      </c>
    </row>
    <row r="13" ht="22.5" customHeight="1">
      <c r="B13" s="33">
        <v>45719.0</v>
      </c>
      <c r="C13" s="38" t="s">
        <v>63</v>
      </c>
      <c r="D13" s="35" t="str">
        <f>Compras[Seleccion]</f>
        <v>Torre 125 Blister 1 euro</v>
      </c>
      <c r="E13" s="39" t="s">
        <v>54</v>
      </c>
      <c r="F13" s="40">
        <v>0.0</v>
      </c>
    </row>
    <row r="14" ht="22.5" customHeight="1">
      <c r="B14" s="33">
        <v>45719.0</v>
      </c>
      <c r="C14" s="38" t="s">
        <v>65</v>
      </c>
      <c r="D14" s="35" t="str">
        <f>Compras[Seleccion]</f>
        <v>Torre 125 Blister 50 cts</v>
      </c>
      <c r="E14" s="39" t="s">
        <v>54</v>
      </c>
      <c r="F14" s="40">
        <v>0.0</v>
      </c>
    </row>
    <row r="15" ht="22.5" customHeight="1">
      <c r="B15" s="33">
        <v>45719.0</v>
      </c>
      <c r="C15" s="38" t="s">
        <v>66</v>
      </c>
      <c r="D15" s="35" t="str">
        <f>Compras[Seleccion]</f>
        <v>Torre 125 Blister 20 cts</v>
      </c>
      <c r="E15" s="39" t="s">
        <v>54</v>
      </c>
      <c r="F15" s="40">
        <v>0.0</v>
      </c>
    </row>
    <row r="16" ht="22.5" customHeight="1">
      <c r="B16" s="33">
        <v>45719.0</v>
      </c>
      <c r="C16" s="38" t="s">
        <v>67</v>
      </c>
      <c r="D16" s="35" t="str">
        <f>Compras[Seleccion]</f>
        <v>Torre 125 Blister 10 cts</v>
      </c>
      <c r="E16" s="39" t="s">
        <v>54</v>
      </c>
      <c r="F16" s="40">
        <v>8.0</v>
      </c>
    </row>
    <row r="17" ht="22.5" customHeight="1">
      <c r="B17" s="33">
        <v>45719.0</v>
      </c>
      <c r="C17" s="38" t="s">
        <v>73</v>
      </c>
      <c r="D17" s="35" t="str">
        <f>Compras[Seleccion]</f>
        <v>Pack Mix 200 blister</v>
      </c>
      <c r="E17" s="39" t="s">
        <v>54</v>
      </c>
      <c r="F17" s="40">
        <v>0.0</v>
      </c>
    </row>
    <row r="18" ht="22.5" customHeight="1">
      <c r="B18" s="33">
        <v>45719.0</v>
      </c>
      <c r="C18" s="38" t="s">
        <v>115</v>
      </c>
      <c r="D18" s="35" t="str">
        <f>Compras[Seleccion]</f>
        <v>Pegatina A6</v>
      </c>
      <c r="E18" s="39" t="s">
        <v>52</v>
      </c>
      <c r="F18" s="41">
        <v>4700.0</v>
      </c>
    </row>
    <row r="19" ht="22.5" customHeight="1">
      <c r="B19" s="33">
        <v>45719.0</v>
      </c>
      <c r="C19" s="38" t="s">
        <v>64</v>
      </c>
      <c r="D19" s="35" t="str">
        <f>Compras[Seleccion]</f>
        <v>Codigo de barras pegatina</v>
      </c>
      <c r="E19" s="39" t="s">
        <v>52</v>
      </c>
      <c r="F19" s="41">
        <v>2300.0</v>
      </c>
    </row>
    <row r="20" ht="22.5" customHeight="1">
      <c r="B20" s="33">
        <v>45719.0</v>
      </c>
      <c r="C20" s="38" t="s">
        <v>62</v>
      </c>
      <c r="D20" s="35" t="str">
        <f>Compras[Seleccion]</f>
        <v>Flyer Blister 1 euro</v>
      </c>
      <c r="E20" s="39" t="s">
        <v>54</v>
      </c>
      <c r="F20" s="41">
        <v>1310.0</v>
      </c>
    </row>
    <row r="21" ht="22.5" customHeight="1">
      <c r="B21" s="33">
        <v>45719.0</v>
      </c>
      <c r="C21" s="38" t="s">
        <v>60</v>
      </c>
      <c r="D21" s="35" t="str">
        <f>Compras[Seleccion]</f>
        <v>Flyer Blister 2 euro</v>
      </c>
      <c r="E21" s="39" t="s">
        <v>54</v>
      </c>
      <c r="F21" s="41">
        <v>1648.0</v>
      </c>
    </row>
    <row r="22" ht="22.5" customHeight="1">
      <c r="B22" s="33">
        <v>45719.0</v>
      </c>
      <c r="C22" s="38" t="s">
        <v>77</v>
      </c>
      <c r="D22" s="35" t="str">
        <f>Compras[Seleccion]</f>
        <v>Peonza tradi (52mm)</v>
      </c>
      <c r="E22" s="39" t="s">
        <v>54</v>
      </c>
      <c r="F22" s="40">
        <v>60.0</v>
      </c>
    </row>
    <row r="23" ht="22.5" customHeight="1">
      <c r="B23" s="33">
        <v>45719.0</v>
      </c>
      <c r="C23" s="38" t="s">
        <v>82</v>
      </c>
      <c r="D23" s="35" t="str">
        <f>Compras[Seleccion]</f>
        <v>Peonza mini (48mm)</v>
      </c>
      <c r="E23" s="39" t="s">
        <v>54</v>
      </c>
      <c r="F23" s="40">
        <v>425.0</v>
      </c>
    </row>
    <row r="24" ht="22.5" customHeight="1">
      <c r="B24" s="33">
        <v>45719.0</v>
      </c>
      <c r="C24" s="38" t="s">
        <v>79</v>
      </c>
      <c r="D24" s="35" t="str">
        <f>Compras[Seleccion]</f>
        <v>Bolsas peonzas</v>
      </c>
      <c r="E24" s="39" t="s">
        <v>54</v>
      </c>
      <c r="F24" s="41">
        <v>500.0</v>
      </c>
    </row>
    <row r="25" ht="22.5" customHeight="1">
      <c r="B25" s="33">
        <v>45719.0</v>
      </c>
      <c r="C25" s="38" t="s">
        <v>76</v>
      </c>
      <c r="D25" s="35" t="str">
        <f>Compras[Seleccion]</f>
        <v>Ceras peonzas</v>
      </c>
      <c r="E25" s="39" t="s">
        <v>54</v>
      </c>
      <c r="F25" s="40">
        <v>500.0</v>
      </c>
    </row>
    <row r="26" ht="22.5" customHeight="1">
      <c r="B26" s="33">
        <v>45719.0</v>
      </c>
      <c r="C26" s="38" t="s">
        <v>91</v>
      </c>
      <c r="D26" s="35" t="str">
        <f>Compras[Seleccion]</f>
        <v>Bolsas algodon FlexiVox</v>
      </c>
      <c r="E26" s="39" t="s">
        <v>54</v>
      </c>
      <c r="F26" s="40">
        <v>500.0</v>
      </c>
    </row>
    <row r="27" ht="22.5" customHeight="1">
      <c r="B27" s="33">
        <v>45719.0</v>
      </c>
      <c r="C27" s="38" t="s">
        <v>153</v>
      </c>
      <c r="D27" s="35" t="str">
        <f>Compras[Seleccion]</f>
        <v>Bolsas plastico FlexiVox</v>
      </c>
      <c r="E27" s="39" t="s">
        <v>52</v>
      </c>
      <c r="F27" s="40">
        <v>118.0</v>
      </c>
    </row>
    <row r="28" ht="22.5" customHeight="1">
      <c r="B28" s="33">
        <v>45719.0</v>
      </c>
      <c r="C28" s="38" t="s">
        <v>83</v>
      </c>
      <c r="D28" s="35" t="str">
        <f>Compras[Seleccion]</f>
        <v>Bolsa zip FlexiVox (transparente)</v>
      </c>
      <c r="E28" s="36" t="s">
        <v>54</v>
      </c>
      <c r="F28" s="40">
        <v>530.0</v>
      </c>
    </row>
    <row r="29" ht="22.5" customHeight="1">
      <c r="B29" s="33">
        <v>45719.0</v>
      </c>
      <c r="C29" s="38" t="s">
        <v>87</v>
      </c>
      <c r="D29" s="35" t="str">
        <f>Compras[Seleccion]</f>
        <v>Bolsa zip FlexiVox (roja)</v>
      </c>
      <c r="E29" s="39" t="s">
        <v>54</v>
      </c>
      <c r="F29" s="40">
        <v>250.0</v>
      </c>
    </row>
    <row r="30" ht="22.5" customHeight="1">
      <c r="B30" s="33">
        <v>45719.0</v>
      </c>
      <c r="C30" s="38" t="s">
        <v>89</v>
      </c>
      <c r="D30" s="35" t="str">
        <f>Compras[Seleccion]</f>
        <v>Bolsa zip FlexiVox (negra)</v>
      </c>
      <c r="E30" s="39" t="s">
        <v>54</v>
      </c>
      <c r="F30" s="40">
        <v>280.0</v>
      </c>
    </row>
    <row r="31" ht="22.5" customHeight="1">
      <c r="B31" s="33">
        <v>45719.0</v>
      </c>
      <c r="C31" s="38" t="s">
        <v>92</v>
      </c>
      <c r="D31" s="35" t="str">
        <f>Compras[Seleccion]</f>
        <v>Cepillos set FlexiVox</v>
      </c>
      <c r="E31" s="39" t="s">
        <v>54</v>
      </c>
      <c r="F31" s="40">
        <v>952.0</v>
      </c>
    </row>
    <row r="32" ht="22.5" customHeight="1">
      <c r="B32" s="33">
        <v>45719.0</v>
      </c>
      <c r="C32" s="38" t="s">
        <v>154</v>
      </c>
      <c r="D32" s="35" t="str">
        <f>Compras[Seleccion]</f>
        <v>Botellas set FlexiVox</v>
      </c>
      <c r="E32" s="39" t="s">
        <v>52</v>
      </c>
      <c r="F32" s="41">
        <v>2352.0</v>
      </c>
    </row>
    <row r="33" ht="22.5" customHeight="1">
      <c r="B33" s="33">
        <v>45719.0</v>
      </c>
      <c r="C33" s="38" t="s">
        <v>96</v>
      </c>
      <c r="D33" s="35" t="str">
        <f>Compras[Seleccion]</f>
        <v>Cajas set FlexiVox (transparente)</v>
      </c>
      <c r="E33" s="39" t="s">
        <v>54</v>
      </c>
      <c r="F33" s="41">
        <v>1953.0</v>
      </c>
    </row>
    <row r="34" ht="22.5" customHeight="1">
      <c r="B34" s="33">
        <v>45719.0</v>
      </c>
      <c r="C34" s="38" t="s">
        <v>100</v>
      </c>
      <c r="D34" s="35" t="str">
        <f>Compras[Seleccion]</f>
        <v>Cajas set FlexiVox (rojo)</v>
      </c>
      <c r="E34" s="39" t="s">
        <v>54</v>
      </c>
      <c r="F34" s="40">
        <v>360.0</v>
      </c>
    </row>
    <row r="35" ht="22.5" customHeight="1">
      <c r="B35" s="33">
        <v>45719.0</v>
      </c>
      <c r="C35" s="38" t="s">
        <v>102</v>
      </c>
      <c r="D35" s="35" t="str">
        <f>Compras[Seleccion]</f>
        <v>Cajas set FlexiVox (negro)</v>
      </c>
      <c r="E35" s="39" t="s">
        <v>54</v>
      </c>
      <c r="F35" s="40">
        <v>360.0</v>
      </c>
    </row>
    <row r="36" ht="22.5" customHeight="1">
      <c r="B36" s="33">
        <v>45719.0</v>
      </c>
      <c r="C36" s="38" t="s">
        <v>94</v>
      </c>
      <c r="D36" s="35" t="str">
        <f>Compras[Seleccion]</f>
        <v>Tapon 3d set FlexiVox (negro)</v>
      </c>
      <c r="E36" s="39" t="s">
        <v>54</v>
      </c>
      <c r="F36" s="41">
        <v>1652.0</v>
      </c>
    </row>
    <row r="37" ht="22.5" customHeight="1">
      <c r="B37" s="33">
        <v>45719.0</v>
      </c>
      <c r="C37" s="38" t="s">
        <v>99</v>
      </c>
      <c r="D37" s="35" t="str">
        <f>Compras[Seleccion]</f>
        <v>Tapon 3d set FlexiVox (rojo)</v>
      </c>
      <c r="E37" s="39" t="s">
        <v>54</v>
      </c>
      <c r="F37" s="40">
        <v>0.0</v>
      </c>
    </row>
    <row r="38" ht="22.5" customHeight="1">
      <c r="B38" s="33">
        <v>45719.0</v>
      </c>
      <c r="C38" s="38" t="s">
        <v>85</v>
      </c>
      <c r="D38" s="35" t="str">
        <f>Compras[Seleccion]</f>
        <v>Flyer FlexiVox</v>
      </c>
      <c r="E38" s="39" t="s">
        <v>54</v>
      </c>
      <c r="F38" s="41">
        <v>1918.0</v>
      </c>
    </row>
    <row r="39" ht="22.5" customHeight="1">
      <c r="B39" s="33">
        <v>45719.0</v>
      </c>
      <c r="C39" s="38" t="s">
        <v>86</v>
      </c>
      <c r="D39" s="35" t="str">
        <f>Compras[Seleccion]</f>
        <v>Manguera FlexiVox (transparente)</v>
      </c>
      <c r="E39" s="39" t="s">
        <v>54</v>
      </c>
      <c r="F39" s="40">
        <v>741.0</v>
      </c>
    </row>
    <row r="40" ht="22.5" customHeight="1">
      <c r="B40" s="33">
        <v>45719.0</v>
      </c>
      <c r="C40" s="38" t="s">
        <v>88</v>
      </c>
      <c r="D40" s="35" t="str">
        <f>Compras[Seleccion]</f>
        <v>Manguera FlexiVox (roja)</v>
      </c>
      <c r="E40" s="39" t="s">
        <v>54</v>
      </c>
      <c r="F40" s="40">
        <v>96.0</v>
      </c>
    </row>
    <row r="41" ht="22.5" customHeight="1">
      <c r="B41" s="33">
        <v>45719.0</v>
      </c>
      <c r="C41" s="38" t="s">
        <v>90</v>
      </c>
      <c r="D41" s="35" t="str">
        <f>Compras[Seleccion]</f>
        <v>Manguera FlexiVox (negra)</v>
      </c>
      <c r="E41" s="39" t="s">
        <v>54</v>
      </c>
      <c r="F41" s="40">
        <v>77.0</v>
      </c>
    </row>
    <row r="42" ht="22.5" customHeight="1">
      <c r="B42" s="33">
        <v>45719.0</v>
      </c>
      <c r="C42" s="38" t="s">
        <v>107</v>
      </c>
      <c r="D42" s="35" t="str">
        <f>Compras[Seleccion]</f>
        <v>bolsa zip Menu Junior</v>
      </c>
      <c r="E42" s="39" t="s">
        <v>54</v>
      </c>
      <c r="F42" s="40">
        <v>800.0</v>
      </c>
    </row>
    <row r="43" ht="22.5" customHeight="1">
      <c r="B43" s="33">
        <v>45719.0</v>
      </c>
      <c r="C43" s="38" t="s">
        <v>105</v>
      </c>
      <c r="D43" s="35" t="str">
        <f>Compras[Seleccion]</f>
        <v>Mast 45/7 - 3mm</v>
      </c>
      <c r="E43" s="39" t="s">
        <v>106</v>
      </c>
      <c r="F43" s="41">
        <v>4000.0</v>
      </c>
    </row>
    <row r="44" ht="22.5" customHeight="1">
      <c r="B44" s="33">
        <v>45719.0</v>
      </c>
      <c r="C44" s="38" t="s">
        <v>104</v>
      </c>
      <c r="D44" s="35" t="str">
        <f>Compras[Seleccion]</f>
        <v>Vaso medidor 10ml</v>
      </c>
      <c r="E44" s="39" t="s">
        <v>54</v>
      </c>
      <c r="F44" s="40">
        <v>135.0</v>
      </c>
    </row>
    <row r="45" ht="22.5" customHeight="1">
      <c r="B45" s="33">
        <v>45719.0</v>
      </c>
      <c r="C45" s="38" t="s">
        <v>109</v>
      </c>
      <c r="D45" s="35" t="str">
        <f>Compras[Seleccion]</f>
        <v>Comida Gammarus</v>
      </c>
      <c r="E45" s="39" t="s">
        <v>106</v>
      </c>
      <c r="F45" s="41">
        <v>0.0</v>
      </c>
    </row>
    <row r="46" ht="22.5" customHeight="1">
      <c r="B46" s="33">
        <v>45719.0</v>
      </c>
      <c r="C46" s="38" t="s">
        <v>110</v>
      </c>
      <c r="D46" s="35" t="str">
        <f>Compras[Seleccion]</f>
        <v>bolsa zip 75g Gammarus</v>
      </c>
      <c r="E46" s="39" t="s">
        <v>54</v>
      </c>
      <c r="F46" s="40">
        <v>635.0</v>
      </c>
    </row>
    <row r="47" ht="22.5" customHeight="1">
      <c r="B47" s="33">
        <v>45719.0</v>
      </c>
      <c r="C47" s="38" t="s">
        <v>12</v>
      </c>
      <c r="D47" s="35" t="str">
        <f>Compras[Seleccion]</f>
        <v>Calcio en polvo tortugas</v>
      </c>
      <c r="E47" s="39" t="s">
        <v>106</v>
      </c>
      <c r="F47" s="40">
        <v>25000.0</v>
      </c>
    </row>
    <row r="48" ht="22.5" customHeight="1">
      <c r="B48" s="33">
        <v>45719.0</v>
      </c>
      <c r="C48" s="38" t="s">
        <v>113</v>
      </c>
      <c r="D48" s="35" t="str">
        <f>Compras[Seleccion]</f>
        <v>Bolsas calcio en polvo</v>
      </c>
      <c r="E48" s="39" t="s">
        <v>54</v>
      </c>
      <c r="F48" s="40">
        <v>758.0</v>
      </c>
    </row>
    <row r="49" ht="22.5" customHeight="1">
      <c r="B49" s="33">
        <v>45719.0</v>
      </c>
      <c r="C49" s="38" t="s">
        <v>112</v>
      </c>
      <c r="D49" s="35" t="str">
        <f>Compras[Seleccion]</f>
        <v>Vaso medidor calcio en polvo</v>
      </c>
      <c r="E49" s="39" t="s">
        <v>54</v>
      </c>
      <c r="F49" s="40">
        <v>1026.0</v>
      </c>
    </row>
    <row r="50" ht="22.5" customHeight="1">
      <c r="B50" s="33">
        <v>45720.0</v>
      </c>
      <c r="C50" s="38" t="s">
        <v>77</v>
      </c>
      <c r="D50" s="35" t="str">
        <f>Compras[Seleccion]</f>
        <v>Peonza tradi (52mm)</v>
      </c>
      <c r="E50" s="39" t="s">
        <v>54</v>
      </c>
      <c r="F50" s="41">
        <f>360*5</f>
        <v>1800</v>
      </c>
    </row>
    <row r="51" ht="22.5" customHeight="1">
      <c r="B51" s="33">
        <v>45720.0</v>
      </c>
      <c r="C51" s="38" t="s">
        <v>82</v>
      </c>
      <c r="D51" s="35" t="str">
        <f>Compras[Seleccion]</f>
        <v>Peonza mini (48mm)</v>
      </c>
      <c r="E51" s="39" t="s">
        <v>54</v>
      </c>
      <c r="F51" s="41">
        <f>420*6</f>
        <v>2520</v>
      </c>
    </row>
    <row r="52" ht="22.5" customHeight="1">
      <c r="B52" s="42">
        <v>45721.0</v>
      </c>
      <c r="C52" s="38" t="s">
        <v>105</v>
      </c>
      <c r="D52" s="40" t="str">
        <f>Compras[Seleccion]</f>
        <v>Mast 45/7 - 3mm</v>
      </c>
      <c r="E52" s="39" t="s">
        <v>106</v>
      </c>
      <c r="F52" s="41">
        <v>300000.0</v>
      </c>
    </row>
    <row r="53" ht="22.5" customHeight="1">
      <c r="B53" s="42">
        <v>45722.0</v>
      </c>
      <c r="C53" s="38" t="s">
        <v>104</v>
      </c>
      <c r="D53" s="40" t="str">
        <f>Compras[Seleccion]</f>
        <v>Vaso medidor 10ml</v>
      </c>
      <c r="E53" s="39" t="s">
        <v>54</v>
      </c>
      <c r="F53" s="41">
        <v>1050.0</v>
      </c>
    </row>
    <row r="54" ht="22.5" customHeight="1">
      <c r="B54" s="42">
        <v>45722.0</v>
      </c>
      <c r="C54" s="38" t="s">
        <v>61</v>
      </c>
      <c r="D54" s="40" t="str">
        <f>Compras[Seleccion]</f>
        <v>Torre 125 Blister 2 euro</v>
      </c>
      <c r="E54" s="39" t="s">
        <v>54</v>
      </c>
      <c r="F54" s="41">
        <f t="shared" ref="F54:F55" si="1">720*2</f>
        <v>1440</v>
      </c>
    </row>
    <row r="55" ht="22.5" customHeight="1">
      <c r="B55" s="42">
        <v>45722.0</v>
      </c>
      <c r="C55" s="38" t="s">
        <v>63</v>
      </c>
      <c r="D55" s="40" t="str">
        <f>Compras[Seleccion]</f>
        <v>Torre 125 Blister 1 euro</v>
      </c>
      <c r="E55" s="39" t="s">
        <v>54</v>
      </c>
      <c r="F55" s="41">
        <f t="shared" si="1"/>
        <v>1440</v>
      </c>
    </row>
    <row r="56" ht="22.5" customHeight="1">
      <c r="B56" s="42">
        <v>45722.0</v>
      </c>
      <c r="C56" s="38" t="s">
        <v>65</v>
      </c>
      <c r="D56" s="40" t="str">
        <f>Compras[Seleccion]</f>
        <v>Torre 125 Blister 50 cts</v>
      </c>
      <c r="E56" s="39" t="s">
        <v>54</v>
      </c>
      <c r="F56" s="41">
        <f>108*2</f>
        <v>216</v>
      </c>
    </row>
    <row r="57" ht="22.5" customHeight="1">
      <c r="B57" s="42">
        <v>45722.0</v>
      </c>
      <c r="C57" s="38" t="s">
        <v>66</v>
      </c>
      <c r="D57" s="40" t="str">
        <f>Compras[Seleccion]</f>
        <v>Torre 125 Blister 20 cts</v>
      </c>
      <c r="E57" s="39" t="s">
        <v>54</v>
      </c>
      <c r="F57" s="41">
        <f t="shared" ref="F57:F58" si="2">144*2</f>
        <v>288</v>
      </c>
    </row>
    <row r="58" ht="22.5" customHeight="1">
      <c r="B58" s="42">
        <v>45722.0</v>
      </c>
      <c r="C58" s="38" t="s">
        <v>67</v>
      </c>
      <c r="D58" s="40" t="str">
        <f>Compras[Seleccion]</f>
        <v>Torre 125 Blister 10 cts</v>
      </c>
      <c r="E58" s="39" t="s">
        <v>54</v>
      </c>
      <c r="F58" s="41">
        <f t="shared" si="2"/>
        <v>288</v>
      </c>
    </row>
    <row r="59" ht="22.5" customHeight="1">
      <c r="B59" s="42">
        <v>45722.0</v>
      </c>
      <c r="C59" s="38" t="s">
        <v>73</v>
      </c>
      <c r="D59" s="40" t="str">
        <f>Compras[Seleccion]</f>
        <v>Pack Mix 200 blister</v>
      </c>
      <c r="E59" s="39" t="s">
        <v>54</v>
      </c>
      <c r="F59" s="41">
        <v>900.0</v>
      </c>
    </row>
    <row r="60" ht="22.5" customHeight="1">
      <c r="B60" s="42">
        <v>45722.0</v>
      </c>
      <c r="C60" s="38" t="s">
        <v>117</v>
      </c>
      <c r="D60" s="40" t="str">
        <f>Compras[Seleccion]</f>
        <v>Pack Mix 400 blister</v>
      </c>
      <c r="E60" s="39" t="s">
        <v>54</v>
      </c>
      <c r="F60" s="41">
        <v>180.0</v>
      </c>
    </row>
    <row r="61" ht="22.5" customHeight="1">
      <c r="B61" s="42">
        <v>45726.0</v>
      </c>
      <c r="C61" s="38" t="s">
        <v>76</v>
      </c>
      <c r="D61" s="40" t="str">
        <f>Compras[Seleccion]</f>
        <v>Ceras peonzas</v>
      </c>
      <c r="E61" s="39" t="s">
        <v>54</v>
      </c>
      <c r="F61" s="41">
        <v>500.0</v>
      </c>
    </row>
    <row r="62" ht="22.5" customHeight="1">
      <c r="B62" s="42">
        <v>45726.0</v>
      </c>
      <c r="C62" s="38" t="s">
        <v>91</v>
      </c>
      <c r="D62" s="40" t="str">
        <f>Compras[Seleccion]</f>
        <v>Bolsas algodon FlexiVox</v>
      </c>
      <c r="E62" s="39" t="s">
        <v>54</v>
      </c>
      <c r="F62" s="41">
        <v>500.0</v>
      </c>
    </row>
    <row r="63" ht="22.5" customHeight="1">
      <c r="B63" s="42">
        <v>45722.0</v>
      </c>
      <c r="C63" s="38" t="s">
        <v>58</v>
      </c>
      <c r="D63" s="40" t="str">
        <f>Compras[Seleccion]</f>
        <v>Bolsas Blister</v>
      </c>
      <c r="E63" s="39" t="s">
        <v>54</v>
      </c>
      <c r="F63" s="41">
        <v>530.0</v>
      </c>
    </row>
    <row r="64" ht="22.5" customHeight="1">
      <c r="B64" s="42">
        <v>45740.0</v>
      </c>
      <c r="C64" s="38" t="s">
        <v>76</v>
      </c>
      <c r="D64" s="40" t="str">
        <f>Compras[Seleccion]</f>
        <v>Ceras peonzas</v>
      </c>
      <c r="E64" s="39" t="s">
        <v>54</v>
      </c>
      <c r="F64" s="41">
        <v>2000.0</v>
      </c>
    </row>
    <row r="65" ht="22.5" customHeight="1">
      <c r="B65" s="42">
        <v>45740.0</v>
      </c>
      <c r="C65" s="38" t="s">
        <v>91</v>
      </c>
      <c r="D65" s="40" t="str">
        <f>Compras[Seleccion]</f>
        <v>Bolsas algodon FlexiVox</v>
      </c>
      <c r="E65" s="39" t="s">
        <v>54</v>
      </c>
      <c r="F65" s="41">
        <v>2000.0</v>
      </c>
    </row>
    <row r="66" ht="22.5" customHeight="1">
      <c r="B66" s="40" t="s">
        <v>155</v>
      </c>
      <c r="C66" s="38" t="s">
        <v>79</v>
      </c>
      <c r="D66" s="40" t="str">
        <f>Compras[Seleccion]</f>
        <v>Bolsas peonzas</v>
      </c>
      <c r="E66" s="39" t="s">
        <v>54</v>
      </c>
      <c r="F66" s="41">
        <v>553.0</v>
      </c>
    </row>
    <row r="67" ht="22.5" customHeight="1">
      <c r="B67" s="42">
        <v>45740.0</v>
      </c>
      <c r="C67" s="38" t="s">
        <v>79</v>
      </c>
      <c r="D67" s="40" t="str">
        <f>Compras[Seleccion]</f>
        <v>Bolsas peonzas</v>
      </c>
      <c r="E67" s="39" t="s">
        <v>54</v>
      </c>
      <c r="F67" s="41">
        <v>960.0</v>
      </c>
    </row>
    <row r="68" ht="22.5" customHeight="1">
      <c r="B68" s="42">
        <v>45747.0</v>
      </c>
      <c r="C68" s="38" t="s">
        <v>76</v>
      </c>
      <c r="D68" s="40" t="str">
        <f>Compras[Seleccion]</f>
        <v>Ceras peonzas</v>
      </c>
      <c r="E68" s="39" t="s">
        <v>54</v>
      </c>
      <c r="F68" s="41">
        <v>5000.0</v>
      </c>
    </row>
    <row r="69" ht="22.5" customHeight="1">
      <c r="B69" s="40" t="s">
        <v>156</v>
      </c>
      <c r="C69" s="38" t="s">
        <v>50</v>
      </c>
      <c r="D69" s="40" t="str">
        <f>Compras[Seleccion]</f>
        <v>Tarjetas valoraciones</v>
      </c>
      <c r="E69" s="39" t="s">
        <v>54</v>
      </c>
      <c r="F69" s="41">
        <v>-2200.0</v>
      </c>
    </row>
    <row r="70" ht="22.5" customHeight="1">
      <c r="B70" s="40" t="s">
        <v>156</v>
      </c>
      <c r="C70" s="38" t="s">
        <v>53</v>
      </c>
      <c r="D70" s="40" t="str">
        <f>Compras[Seleccion]</f>
        <v>Packaging calcio 4</v>
      </c>
      <c r="E70" s="39" t="s">
        <v>54</v>
      </c>
      <c r="F70" s="41">
        <v>-1700.0</v>
      </c>
    </row>
    <row r="71" ht="22.5" customHeight="1">
      <c r="B71" s="40" t="s">
        <v>156</v>
      </c>
      <c r="C71" s="38" t="s">
        <v>56</v>
      </c>
      <c r="D71" s="40" t="str">
        <f>Compras[Seleccion]</f>
        <v>Packaging calcio 8</v>
      </c>
      <c r="E71" s="39" t="s">
        <v>54</v>
      </c>
      <c r="F71" s="41">
        <v>-470.0</v>
      </c>
    </row>
    <row r="72" ht="22.5" customHeight="1">
      <c r="B72" s="40" t="s">
        <v>156</v>
      </c>
      <c r="C72" s="38" t="s">
        <v>57</v>
      </c>
      <c r="D72" s="40" t="str">
        <f>Compras[Seleccion]</f>
        <v>Packaging calcio 15</v>
      </c>
      <c r="E72" s="39" t="s">
        <v>54</v>
      </c>
      <c r="F72" s="41">
        <v>-500.0</v>
      </c>
    </row>
    <row r="73" ht="22.5" customHeight="1">
      <c r="B73" s="42">
        <v>45760.0</v>
      </c>
      <c r="C73" s="38" t="s">
        <v>94</v>
      </c>
      <c r="D73" s="40" t="str">
        <f>Compras[Seleccion]</f>
        <v>Tapon 3d set FlexiVox (negro)</v>
      </c>
      <c r="E73" s="39" t="s">
        <v>54</v>
      </c>
      <c r="F73" s="41">
        <f>1020</f>
        <v>1020</v>
      </c>
    </row>
    <row r="74" ht="22.5" customHeight="1">
      <c r="B74" s="42">
        <v>45760.0</v>
      </c>
      <c r="C74" s="38" t="s">
        <v>99</v>
      </c>
      <c r="D74" s="40" t="str">
        <f>Compras[Seleccion]</f>
        <v>Tapon 3d set FlexiVox (rojo)</v>
      </c>
      <c r="E74" s="39" t="s">
        <v>54</v>
      </c>
      <c r="F74" s="41">
        <v>490.0</v>
      </c>
    </row>
    <row r="75" ht="22.5" customHeight="1">
      <c r="B75" s="40" t="s">
        <v>155</v>
      </c>
      <c r="C75" s="38" t="s">
        <v>99</v>
      </c>
      <c r="D75" s="40" t="str">
        <f>Compras[Seleccion]</f>
        <v>Tapon 3d set FlexiVox (rojo)</v>
      </c>
      <c r="E75" s="39" t="s">
        <v>54</v>
      </c>
      <c r="F75" s="41">
        <v>94.0</v>
      </c>
    </row>
    <row r="76" ht="22.5" customHeight="1">
      <c r="B76" s="40" t="s">
        <v>155</v>
      </c>
      <c r="C76" s="38" t="s">
        <v>50</v>
      </c>
      <c r="D76" s="40" t="str">
        <f>Compras[Seleccion]</f>
        <v>Tarjetas valoraciones</v>
      </c>
      <c r="E76" s="39" t="s">
        <v>54</v>
      </c>
      <c r="F76" s="41">
        <f>44+251+1900</f>
        <v>2195</v>
      </c>
    </row>
    <row r="77" ht="22.5" customHeight="1">
      <c r="B77" s="40" t="s">
        <v>155</v>
      </c>
      <c r="C77" s="38" t="s">
        <v>55</v>
      </c>
      <c r="D77" s="40" t="str">
        <f>Compras[Seleccion]</f>
        <v>Calcio en pastillas tortugas</v>
      </c>
      <c r="E77" s="39" t="s">
        <v>54</v>
      </c>
      <c r="F77" s="41">
        <v>-392.0</v>
      </c>
    </row>
    <row r="78" ht="22.5" customHeight="1">
      <c r="B78" s="40" t="s">
        <v>155</v>
      </c>
      <c r="C78" s="38" t="s">
        <v>61</v>
      </c>
      <c r="D78" s="40" t="str">
        <f>Compras[Seleccion]</f>
        <v>Torre 125 Blister 2 euro</v>
      </c>
      <c r="E78" s="39" t="s">
        <v>54</v>
      </c>
      <c r="F78" s="41">
        <v>17.0</v>
      </c>
    </row>
    <row r="79" ht="22.5" customHeight="1">
      <c r="B79" s="40" t="s">
        <v>157</v>
      </c>
      <c r="C79" s="38" t="s">
        <v>67</v>
      </c>
      <c r="D79" s="40" t="str">
        <f>Compras[Seleccion]</f>
        <v>Torre 125 Blister 10 cts</v>
      </c>
      <c r="E79" s="39" t="s">
        <v>54</v>
      </c>
      <c r="F79" s="41">
        <v>-7.0</v>
      </c>
    </row>
    <row r="80" ht="22.5" customHeight="1">
      <c r="B80" s="40" t="s">
        <v>157</v>
      </c>
      <c r="C80" s="38" t="s">
        <v>62</v>
      </c>
      <c r="D80" s="40" t="str">
        <f>Compras[Seleccion]</f>
        <v>Flyer Blister 1 euro</v>
      </c>
      <c r="E80" s="39" t="s">
        <v>54</v>
      </c>
      <c r="F80" s="41">
        <v>1000.0</v>
      </c>
    </row>
    <row r="81" ht="22.5" customHeight="1">
      <c r="B81" s="40" t="s">
        <v>157</v>
      </c>
      <c r="C81" s="38" t="s">
        <v>60</v>
      </c>
      <c r="D81" s="40" t="str">
        <f>Compras[Seleccion]</f>
        <v>Flyer Blister 2 euro</v>
      </c>
      <c r="E81" s="39" t="s">
        <v>54</v>
      </c>
      <c r="F81" s="41">
        <v>-250.0</v>
      </c>
    </row>
    <row r="82" ht="22.5" customHeight="1">
      <c r="B82" s="42">
        <v>45716.0</v>
      </c>
      <c r="C82" s="38" t="s">
        <v>92</v>
      </c>
      <c r="D82" s="40" t="str">
        <f>Compras[Seleccion]</f>
        <v>Cepillos set FlexiVox</v>
      </c>
      <c r="E82" s="39" t="s">
        <v>54</v>
      </c>
      <c r="F82" s="41">
        <v>5000.0</v>
      </c>
    </row>
    <row r="83" ht="22.5" customHeight="1">
      <c r="B83" s="40" t="s">
        <v>157</v>
      </c>
      <c r="C83" s="38" t="s">
        <v>107</v>
      </c>
      <c r="D83" s="40" t="str">
        <f>Compras[Seleccion]</f>
        <v>bolsa zip Menu Junior</v>
      </c>
      <c r="E83" s="39" t="s">
        <v>54</v>
      </c>
      <c r="F83" s="41">
        <f>1173-244</f>
        <v>929</v>
      </c>
    </row>
    <row r="84" ht="22.5" customHeight="1">
      <c r="B84" s="40" t="s">
        <v>155</v>
      </c>
      <c r="C84" s="38" t="s">
        <v>109</v>
      </c>
      <c r="D84" s="40" t="str">
        <f>Compras[Seleccion]</f>
        <v>Comida Gammarus</v>
      </c>
      <c r="E84" s="39" t="s">
        <v>106</v>
      </c>
      <c r="F84" s="41">
        <v>20000.0</v>
      </c>
    </row>
    <row r="85" ht="22.5" customHeight="1">
      <c r="B85" s="40" t="s">
        <v>155</v>
      </c>
      <c r="C85" s="38" t="s">
        <v>110</v>
      </c>
      <c r="D85" s="40" t="str">
        <f>Compras[Seleccion]</f>
        <v>bolsa zip 75g Gammarus</v>
      </c>
      <c r="E85" s="39" t="s">
        <v>54</v>
      </c>
      <c r="F85" s="41">
        <f>238</f>
        <v>238</v>
      </c>
    </row>
    <row r="86" ht="22.5" customHeight="1">
      <c r="B86" s="40" t="s">
        <v>155</v>
      </c>
      <c r="C86" s="38" t="s">
        <v>104</v>
      </c>
      <c r="D86" s="40" t="str">
        <f>Compras[Seleccion]</f>
        <v>Vaso medidor 10ml</v>
      </c>
      <c r="E86" s="39" t="s">
        <v>54</v>
      </c>
      <c r="F86" s="41">
        <f>238-17+49</f>
        <v>270</v>
      </c>
    </row>
    <row r="87" ht="22.5" customHeight="1">
      <c r="B87" s="40" t="s">
        <v>158</v>
      </c>
      <c r="C87" s="38" t="s">
        <v>109</v>
      </c>
      <c r="D87" s="40" t="str">
        <f>Compras[Seleccion]</f>
        <v>Comida Gammarus</v>
      </c>
      <c r="E87" s="39" t="s">
        <v>106</v>
      </c>
      <c r="F87" s="41">
        <f>-1850-(17*75)</f>
        <v>-3125</v>
      </c>
    </row>
    <row r="88" ht="22.5" customHeight="1">
      <c r="B88" s="40" t="s">
        <v>159</v>
      </c>
      <c r="C88" s="38" t="s">
        <v>94</v>
      </c>
      <c r="D88" s="40" t="str">
        <f>Compras[Seleccion]</f>
        <v>Tapon 3d set FlexiVox (negro)</v>
      </c>
      <c r="E88" s="39" t="s">
        <v>54</v>
      </c>
      <c r="F88" s="41">
        <v>-1110.0</v>
      </c>
    </row>
    <row r="89" ht="22.5" customHeight="1">
      <c r="B89" s="42">
        <v>45768.0</v>
      </c>
      <c r="C89" s="38" t="s">
        <v>86</v>
      </c>
      <c r="D89" s="40" t="str">
        <f>Compras[Seleccion]</f>
        <v>Manguera FlexiVox (transparente)</v>
      </c>
      <c r="E89" s="39" t="s">
        <v>54</v>
      </c>
      <c r="F89" s="41">
        <v>1500.0</v>
      </c>
    </row>
    <row r="90" ht="22.5" customHeight="1">
      <c r="B90" s="40" t="s">
        <v>155</v>
      </c>
      <c r="C90" s="38" t="s">
        <v>77</v>
      </c>
      <c r="D90" s="40" t="str">
        <f>Compras[Seleccion]</f>
        <v>Peonza tradi (52mm)</v>
      </c>
      <c r="E90" s="39" t="s">
        <v>54</v>
      </c>
      <c r="F90" s="41">
        <v>46.0</v>
      </c>
    </row>
    <row r="91" ht="22.5" customHeight="1">
      <c r="B91" s="42"/>
      <c r="C91" s="38" t="s">
        <v>83</v>
      </c>
      <c r="D91" s="40" t="str">
        <f>Compras[Seleccion]</f>
        <v>Bolsa zip FlexiVox (transparente)</v>
      </c>
      <c r="E91" s="39" t="s">
        <v>54</v>
      </c>
      <c r="F91" s="41">
        <v>70.0</v>
      </c>
    </row>
    <row r="92" ht="22.5" customHeight="1">
      <c r="B92" s="42">
        <v>45785.0</v>
      </c>
      <c r="C92" s="38" t="s">
        <v>88</v>
      </c>
      <c r="D92" s="40" t="str">
        <f>Compras[Seleccion]</f>
        <v>Manguera FlexiVox (roja)</v>
      </c>
      <c r="E92" s="39" t="s">
        <v>54</v>
      </c>
      <c r="F92" s="41">
        <v>750.0</v>
      </c>
    </row>
    <row r="93" ht="22.5" customHeight="1">
      <c r="B93" s="42">
        <v>45785.0</v>
      </c>
      <c r="C93" s="38" t="s">
        <v>90</v>
      </c>
      <c r="D93" s="40" t="str">
        <f>Compras[Seleccion]</f>
        <v>Manguera FlexiVox (negra)</v>
      </c>
      <c r="E93" s="39" t="s">
        <v>54</v>
      </c>
      <c r="F93" s="41">
        <v>750.0</v>
      </c>
    </row>
    <row r="94" ht="22.5" customHeight="1">
      <c r="B94" s="42">
        <v>45785.0</v>
      </c>
      <c r="C94" s="38" t="s">
        <v>50</v>
      </c>
      <c r="D94" s="40" t="str">
        <f>Compras[Seleccion]</f>
        <v>Tarjetas valoraciones</v>
      </c>
      <c r="E94" s="39" t="s">
        <v>54</v>
      </c>
      <c r="F94" s="41">
        <v>7500.0</v>
      </c>
    </row>
    <row r="95" ht="22.5" customHeight="1">
      <c r="B95" s="42">
        <v>45785.0</v>
      </c>
      <c r="C95" s="38" t="s">
        <v>62</v>
      </c>
      <c r="D95" s="40" t="str">
        <f>Compras[Seleccion]</f>
        <v>Flyer Blister 1 euro</v>
      </c>
      <c r="E95" s="39" t="s">
        <v>54</v>
      </c>
      <c r="F95" s="41">
        <v>2500.0</v>
      </c>
    </row>
    <row r="96" ht="22.5" customHeight="1">
      <c r="B96" s="42">
        <v>45785.0</v>
      </c>
      <c r="C96" s="38" t="s">
        <v>60</v>
      </c>
      <c r="D96" s="40" t="str">
        <f>Compras[Seleccion]</f>
        <v>Flyer Blister 2 euro</v>
      </c>
      <c r="E96" s="39" t="s">
        <v>54</v>
      </c>
      <c r="F96" s="41">
        <v>2500.0</v>
      </c>
    </row>
    <row r="97" ht="22.5" customHeight="1">
      <c r="B97" s="40" t="s">
        <v>155</v>
      </c>
      <c r="C97" s="38" t="s">
        <v>94</v>
      </c>
      <c r="D97" s="40" t="str">
        <f>Compras[Seleccion]</f>
        <v>Tapon 3d set FlexiVox (negro)</v>
      </c>
      <c r="E97" s="39" t="s">
        <v>54</v>
      </c>
      <c r="F97" s="41">
        <v>18.0</v>
      </c>
    </row>
    <row r="98" ht="22.5" customHeight="1">
      <c r="B98" s="40" t="s">
        <v>155</v>
      </c>
      <c r="C98" s="38" t="s">
        <v>99</v>
      </c>
      <c r="D98" s="40" t="str">
        <f>Compras[Seleccion]</f>
        <v>Tapon 3d set FlexiVox (rojo)</v>
      </c>
      <c r="E98" s="39" t="s">
        <v>54</v>
      </c>
      <c r="F98" s="41">
        <v>-18.0</v>
      </c>
    </row>
    <row r="99" ht="22.5" customHeight="1">
      <c r="B99" s="42">
        <v>45785.0</v>
      </c>
      <c r="C99" s="38" t="s">
        <v>61</v>
      </c>
      <c r="D99" s="40" t="str">
        <f>Compras[Seleccion]</f>
        <v>Torre 125 Blister 2 euro</v>
      </c>
      <c r="E99" s="39" t="s">
        <v>54</v>
      </c>
      <c r="F99" s="41">
        <f>48*2*17</f>
        <v>1632</v>
      </c>
    </row>
    <row r="100" ht="22.5" customHeight="1">
      <c r="B100" s="42">
        <v>45785.0</v>
      </c>
      <c r="C100" s="38" t="s">
        <v>63</v>
      </c>
      <c r="D100" s="40" t="str">
        <f>Compras[Seleccion]</f>
        <v>Torre 125 Blister 1 euro</v>
      </c>
      <c r="E100" s="39" t="s">
        <v>54</v>
      </c>
      <c r="F100" s="41">
        <f>48*2*25</f>
        <v>2400</v>
      </c>
    </row>
    <row r="101" ht="22.5" customHeight="1">
      <c r="B101" s="42">
        <v>45785.0</v>
      </c>
      <c r="C101" s="38" t="s">
        <v>65</v>
      </c>
      <c r="D101" s="40" t="str">
        <f>Compras[Seleccion]</f>
        <v>Torre 125 Blister 50 cts</v>
      </c>
      <c r="E101" s="39" t="s">
        <v>54</v>
      </c>
      <c r="F101" s="41">
        <f>3*36*2</f>
        <v>216</v>
      </c>
    </row>
    <row r="102" ht="22.5" customHeight="1">
      <c r="B102" s="42">
        <v>45785.0</v>
      </c>
      <c r="C102" s="38" t="s">
        <v>66</v>
      </c>
      <c r="D102" s="40" t="str">
        <f>Compras[Seleccion]</f>
        <v>Torre 125 Blister 20 cts</v>
      </c>
      <c r="E102" s="39" t="s">
        <v>54</v>
      </c>
      <c r="F102" s="41">
        <f>2*48*3</f>
        <v>288</v>
      </c>
    </row>
    <row r="103" ht="22.5" customHeight="1">
      <c r="B103" s="42">
        <v>45785.0</v>
      </c>
      <c r="C103" s="38" t="s">
        <v>67</v>
      </c>
      <c r="D103" s="40" t="str">
        <f>Compras[Seleccion]</f>
        <v>Torre 125 Blister 10 cts</v>
      </c>
      <c r="E103" s="39" t="s">
        <v>54</v>
      </c>
      <c r="F103" s="41">
        <f>56*2</f>
        <v>112</v>
      </c>
    </row>
    <row r="104" ht="22.5" customHeight="1">
      <c r="B104" s="42">
        <v>45785.0</v>
      </c>
      <c r="C104" s="38" t="s">
        <v>73</v>
      </c>
      <c r="D104" s="40" t="str">
        <f>Compras[Seleccion]</f>
        <v>Pack Mix 200 blister</v>
      </c>
      <c r="E104" s="39" t="s">
        <v>54</v>
      </c>
      <c r="F104" s="41">
        <f>36*25</f>
        <v>900</v>
      </c>
    </row>
    <row r="105" ht="22.5" customHeight="1">
      <c r="B105" s="42">
        <v>45789.0</v>
      </c>
      <c r="C105" s="38" t="s">
        <v>76</v>
      </c>
      <c r="D105" s="40" t="str">
        <f>Compras[Seleccion]</f>
        <v>Ceras peonzas</v>
      </c>
      <c r="E105" s="39" t="s">
        <v>54</v>
      </c>
      <c r="F105" s="41">
        <v>2000.0</v>
      </c>
    </row>
    <row r="106" ht="22.5" customHeight="1">
      <c r="B106" s="42">
        <v>45785.0</v>
      </c>
      <c r="C106" s="38" t="s">
        <v>77</v>
      </c>
      <c r="D106" s="40" t="str">
        <f>Compras[Seleccion]</f>
        <v>Peonza tradi (52mm)</v>
      </c>
      <c r="E106" s="39" t="s">
        <v>54</v>
      </c>
      <c r="F106" s="41">
        <v>648.0</v>
      </c>
    </row>
    <row r="107" ht="22.5" customHeight="1">
      <c r="B107" s="42">
        <v>45785.0</v>
      </c>
      <c r="C107" s="38" t="s">
        <v>160</v>
      </c>
      <c r="D107" s="40" t="str">
        <f>Compras[Seleccion]</f>
        <v>Peonza boligrafo</v>
      </c>
      <c r="E107" s="39" t="s">
        <v>52</v>
      </c>
      <c r="F107" s="41">
        <v>420.0</v>
      </c>
    </row>
    <row r="108" ht="22.5" customHeight="1">
      <c r="B108" s="42">
        <v>45791.0</v>
      </c>
      <c r="C108" s="38" t="s">
        <v>79</v>
      </c>
      <c r="D108" s="40" t="str">
        <f>Compras[Seleccion]</f>
        <v>Bolsas peonzas</v>
      </c>
      <c r="E108" s="39" t="s">
        <v>54</v>
      </c>
      <c r="F108" s="41">
        <v>360.0</v>
      </c>
    </row>
    <row r="109" ht="22.5" customHeight="1">
      <c r="B109" s="42">
        <v>45792.0</v>
      </c>
      <c r="C109" s="38" t="s">
        <v>64</v>
      </c>
      <c r="D109" s="40" t="str">
        <f>Compras[Seleccion]</f>
        <v>Codigo de barras pegatina</v>
      </c>
      <c r="E109" s="39" t="s">
        <v>52</v>
      </c>
      <c r="F109" s="41">
        <v>13200.0</v>
      </c>
    </row>
    <row r="110" ht="22.5" customHeight="1">
      <c r="B110" s="42">
        <v>45793.0</v>
      </c>
      <c r="C110" s="38" t="s">
        <v>59</v>
      </c>
      <c r="D110" s="40" t="str">
        <f>Compras[Seleccion]</f>
        <v>Pegatina riesgo de asfixia</v>
      </c>
      <c r="E110" s="39" t="s">
        <v>52</v>
      </c>
      <c r="F110" s="41">
        <v>19500.0</v>
      </c>
    </row>
    <row r="111" ht="22.5" customHeight="1">
      <c r="B111" s="42">
        <v>45798.0</v>
      </c>
      <c r="C111" s="38" t="s">
        <v>76</v>
      </c>
      <c r="D111" s="40" t="str">
        <f>Compras[Seleccion]</f>
        <v>Ceras peonzas</v>
      </c>
      <c r="E111" s="39" t="s">
        <v>54</v>
      </c>
      <c r="F111" s="41">
        <v>5000.0</v>
      </c>
    </row>
    <row r="112" ht="22.5" customHeight="1">
      <c r="B112" s="42">
        <v>45798.0</v>
      </c>
      <c r="C112" s="38" t="s">
        <v>121</v>
      </c>
      <c r="D112" s="40" t="str">
        <f>Compras[Seleccion]</f>
        <v>Lapices Tynie</v>
      </c>
      <c r="E112" s="39" t="s">
        <v>54</v>
      </c>
      <c r="F112" s="41">
        <v>2000.0</v>
      </c>
    </row>
    <row r="113" ht="22.5" customHeight="1">
      <c r="B113" s="42">
        <v>45798.0</v>
      </c>
      <c r="C113" s="38" t="s">
        <v>124</v>
      </c>
      <c r="D113" s="40" t="str">
        <f>Compras[Seleccion]</f>
        <v>Lapices Girls</v>
      </c>
      <c r="E113" s="39" t="s">
        <v>54</v>
      </c>
      <c r="F113" s="41">
        <v>2000.0</v>
      </c>
    </row>
    <row r="114" ht="22.5" customHeight="1">
      <c r="B114" s="42">
        <v>45800.0</v>
      </c>
      <c r="C114" s="38" t="s">
        <v>55</v>
      </c>
      <c r="D114" s="40" t="str">
        <f>Compras[Seleccion]</f>
        <v>Calcio en pastillas tortugas</v>
      </c>
      <c r="E114" s="39" t="s">
        <v>54</v>
      </c>
      <c r="F114" s="41">
        <v>3000.0</v>
      </c>
    </row>
    <row r="115" ht="22.5" customHeight="1">
      <c r="B115" s="42">
        <v>45803.0</v>
      </c>
      <c r="C115" s="38" t="s">
        <v>56</v>
      </c>
      <c r="D115" s="40" t="str">
        <f>Compras[Seleccion]</f>
        <v>Packaging calcio 8</v>
      </c>
      <c r="E115" s="39" t="s">
        <v>54</v>
      </c>
      <c r="F115" s="41">
        <v>3000.0</v>
      </c>
    </row>
    <row r="116" ht="22.5" customHeight="1">
      <c r="B116" s="42">
        <v>45804.0</v>
      </c>
      <c r="C116" s="38" t="s">
        <v>104</v>
      </c>
      <c r="D116" s="40" t="str">
        <f>Compras[Seleccion]</f>
        <v>Vaso medidor 10ml</v>
      </c>
      <c r="E116" s="39" t="s">
        <v>54</v>
      </c>
      <c r="F116" s="41">
        <v>2100.0</v>
      </c>
    </row>
    <row r="117" ht="22.5" customHeight="1">
      <c r="B117" s="42">
        <v>45806.0</v>
      </c>
      <c r="C117" s="38" t="s">
        <v>55</v>
      </c>
      <c r="D117" s="40" t="str">
        <f>Compras[Seleccion]</f>
        <v>Calcio en pastillas tortugas</v>
      </c>
      <c r="E117" s="39" t="s">
        <v>54</v>
      </c>
      <c r="F117" s="41">
        <v>3000.0</v>
      </c>
    </row>
    <row r="118" ht="22.5" customHeight="1">
      <c r="B118" s="42">
        <v>45817.0</v>
      </c>
      <c r="C118" s="38" t="s">
        <v>109</v>
      </c>
      <c r="D118" s="40" t="str">
        <f>Compras[Seleccion]</f>
        <v>Comida Gammarus</v>
      </c>
      <c r="E118" s="39" t="s">
        <v>106</v>
      </c>
      <c r="F118" s="41">
        <v>8000.0</v>
      </c>
    </row>
    <row r="119" ht="22.5" customHeight="1">
      <c r="B119" s="42">
        <v>45817.0</v>
      </c>
      <c r="C119" s="38" t="s">
        <v>76</v>
      </c>
      <c r="D119" s="40" t="str">
        <f>Compras[Seleccion]</f>
        <v>Ceras peonzas</v>
      </c>
      <c r="E119" s="39" t="s">
        <v>54</v>
      </c>
      <c r="F119" s="41">
        <v>5000.0</v>
      </c>
    </row>
    <row r="120" ht="22.5" customHeight="1">
      <c r="B120" s="42">
        <v>45817.0</v>
      </c>
      <c r="C120" s="38" t="s">
        <v>121</v>
      </c>
      <c r="D120" s="40" t="str">
        <f>Compras[Seleccion]</f>
        <v>Lapices Tynie</v>
      </c>
      <c r="E120" s="39" t="s">
        <v>54</v>
      </c>
      <c r="F120" s="41">
        <v>2000.0</v>
      </c>
    </row>
    <row r="121" ht="22.5" customHeight="1">
      <c r="B121" s="42">
        <v>45817.0</v>
      </c>
      <c r="C121" s="38" t="s">
        <v>124</v>
      </c>
      <c r="D121" s="40" t="str">
        <f>Compras[Seleccion]</f>
        <v>Lapices Girls</v>
      </c>
      <c r="E121" s="39" t="s">
        <v>54</v>
      </c>
      <c r="F121" s="41">
        <v>2000.0</v>
      </c>
    </row>
    <row r="122" ht="22.5" customHeight="1">
      <c r="B122" s="42">
        <v>45818.0</v>
      </c>
      <c r="C122" s="38" t="s">
        <v>130</v>
      </c>
      <c r="D122" s="40" t="str">
        <f>Compras[Seleccion]</f>
        <v>Tupper rectangular</v>
      </c>
      <c r="E122" s="39" t="s">
        <v>52</v>
      </c>
      <c r="F122" s="41">
        <v>320.0</v>
      </c>
    </row>
    <row r="123" ht="22.5" customHeight="1">
      <c r="B123" s="42">
        <v>45819.0</v>
      </c>
      <c r="C123" s="38" t="s">
        <v>79</v>
      </c>
      <c r="D123" s="40" t="str">
        <f>Compras[Seleccion]</f>
        <v>Bolsas peonzas</v>
      </c>
      <c r="E123" s="39" t="s">
        <v>54</v>
      </c>
      <c r="F123" s="41">
        <f>96*40</f>
        <v>3840</v>
      </c>
    </row>
    <row r="124" ht="22.5" customHeight="1">
      <c r="B124" s="40" t="s">
        <v>155</v>
      </c>
      <c r="C124" s="38" t="s">
        <v>95</v>
      </c>
      <c r="D124" s="40" t="str">
        <f>Compras[Seleccion]</f>
        <v>Tapon estanco set FlexiVox</v>
      </c>
      <c r="E124" s="39" t="s">
        <v>54</v>
      </c>
      <c r="F124" s="41">
        <v>2911.0</v>
      </c>
    </row>
    <row r="125" ht="22.5" customHeight="1">
      <c r="B125" s="42">
        <v>45820.0</v>
      </c>
      <c r="C125" s="38" t="s">
        <v>63</v>
      </c>
      <c r="D125" s="40" t="str">
        <f>Compras[Seleccion]</f>
        <v>Torre 125 Blister 1 euro</v>
      </c>
      <c r="E125" s="39" t="s">
        <v>54</v>
      </c>
      <c r="F125" s="41">
        <v>192.0</v>
      </c>
    </row>
    <row r="126" ht="22.5" customHeight="1">
      <c r="B126" s="42">
        <v>45820.0</v>
      </c>
      <c r="C126" s="38" t="s">
        <v>67</v>
      </c>
      <c r="D126" s="40" t="str">
        <f>Compras[Seleccion]</f>
        <v>Torre 125 Blister 10 cts</v>
      </c>
      <c r="E126" s="39" t="s">
        <v>54</v>
      </c>
      <c r="F126" s="41">
        <v>56.0</v>
      </c>
    </row>
    <row r="127" ht="22.5" customHeight="1">
      <c r="B127" s="42">
        <v>45820.0</v>
      </c>
      <c r="C127" s="38" t="s">
        <v>68</v>
      </c>
      <c r="D127" s="40" t="str">
        <f>Compras[Seleccion]</f>
        <v>Torre 125 Blister 5 cts</v>
      </c>
      <c r="E127" s="39" t="s">
        <v>54</v>
      </c>
      <c r="F127" s="41">
        <f>144-14</f>
        <v>130</v>
      </c>
    </row>
    <row r="128" ht="22.5" customHeight="1">
      <c r="B128" s="42">
        <v>45820.0</v>
      </c>
      <c r="C128" s="38" t="s">
        <v>69</v>
      </c>
      <c r="D128" s="40" t="str">
        <f>Compras[Seleccion]</f>
        <v>Torre 125 Blister 2 cts</v>
      </c>
      <c r="E128" s="39" t="s">
        <v>54</v>
      </c>
      <c r="F128" s="41">
        <v>152.0</v>
      </c>
    </row>
    <row r="129" ht="22.5" customHeight="1">
      <c r="B129" s="42">
        <v>45820.0</v>
      </c>
      <c r="C129" s="38" t="s">
        <v>70</v>
      </c>
      <c r="D129" s="40" t="str">
        <f>Compras[Seleccion]</f>
        <v>Torre 125 Blister 1 cts</v>
      </c>
      <c r="E129" s="39" t="s">
        <v>54</v>
      </c>
      <c r="F129" s="41">
        <v>96.0</v>
      </c>
    </row>
    <row r="130" ht="22.5" customHeight="1">
      <c r="B130" s="42">
        <v>45820.0</v>
      </c>
      <c r="C130" s="38" t="s">
        <v>73</v>
      </c>
      <c r="D130" s="40" t="str">
        <f>Compras[Seleccion]</f>
        <v>Pack Mix 200 blister</v>
      </c>
      <c r="E130" s="39" t="s">
        <v>54</v>
      </c>
      <c r="F130" s="41">
        <v>72.0</v>
      </c>
    </row>
    <row r="131" ht="22.5" customHeight="1">
      <c r="B131" s="42">
        <v>45820.0</v>
      </c>
      <c r="C131" s="38" t="s">
        <v>117</v>
      </c>
      <c r="D131" s="40" t="str">
        <f>Compras[Seleccion]</f>
        <v>Pack Mix 400 blister</v>
      </c>
      <c r="E131" s="39" t="s">
        <v>54</v>
      </c>
      <c r="F131" s="41">
        <v>300.0</v>
      </c>
    </row>
    <row r="132" ht="22.5" customHeight="1">
      <c r="B132" s="42">
        <v>45822.0</v>
      </c>
      <c r="C132" s="38" t="s">
        <v>109</v>
      </c>
      <c r="D132" s="40" t="str">
        <f>Compras[Seleccion]</f>
        <v>Comida Gammarus</v>
      </c>
      <c r="E132" s="39" t="s">
        <v>106</v>
      </c>
      <c r="F132" s="41">
        <v>40500.0</v>
      </c>
    </row>
    <row r="133" ht="22.5" customHeight="1">
      <c r="B133" s="42">
        <v>45824.0</v>
      </c>
      <c r="C133" s="38" t="s">
        <v>55</v>
      </c>
      <c r="D133" s="40" t="str">
        <f>Compras[Seleccion]</f>
        <v>Calcio en pastillas tortugas</v>
      </c>
      <c r="E133" s="39" t="s">
        <v>54</v>
      </c>
      <c r="F133" s="41">
        <f>3000-900</f>
        <v>2100</v>
      </c>
    </row>
    <row r="134" ht="22.5" customHeight="1">
      <c r="B134" s="42">
        <v>45824.0</v>
      </c>
      <c r="C134" s="38" t="s">
        <v>154</v>
      </c>
      <c r="D134" s="40" t="str">
        <f>Compras[Seleccion]</f>
        <v>Botellas set FlexiVox</v>
      </c>
      <c r="E134" s="39" t="s">
        <v>52</v>
      </c>
      <c r="F134" s="41">
        <f>2400+115</f>
        <v>2515</v>
      </c>
    </row>
    <row r="135" ht="22.5" customHeight="1">
      <c r="B135" s="42">
        <v>45827.0</v>
      </c>
      <c r="C135" s="38" t="s">
        <v>124</v>
      </c>
      <c r="D135" s="40" t="str">
        <f>Compras[Seleccion]</f>
        <v>Lapices Girls</v>
      </c>
      <c r="E135" s="39" t="s">
        <v>54</v>
      </c>
      <c r="F135" s="41">
        <v>5000.0</v>
      </c>
    </row>
    <row r="136" ht="22.5" customHeight="1">
      <c r="B136" s="40" t="s">
        <v>161</v>
      </c>
      <c r="C136" s="38" t="s">
        <v>78</v>
      </c>
      <c r="D136" s="40" t="str">
        <f>Compras[Seleccion]</f>
        <v>Arandela</v>
      </c>
      <c r="E136" s="39" t="s">
        <v>54</v>
      </c>
      <c r="F136" s="41">
        <v>4379.0</v>
      </c>
    </row>
    <row r="137" ht="22.5" customHeight="1">
      <c r="B137" s="40" t="s">
        <v>161</v>
      </c>
      <c r="C137" s="38" t="s">
        <v>162</v>
      </c>
      <c r="D137" s="40" t="str">
        <f>Compras[Seleccion]</f>
        <v>Bolsa transporte peonza</v>
      </c>
      <c r="E137" s="39" t="s">
        <v>52</v>
      </c>
      <c r="F137" s="41">
        <v>3975.0</v>
      </c>
    </row>
    <row r="138" ht="22.5" customHeight="1">
      <c r="B138" s="42">
        <v>45827.0</v>
      </c>
      <c r="C138" s="38" t="s">
        <v>78</v>
      </c>
      <c r="D138" s="40" t="str">
        <f>Compras[Seleccion]</f>
        <v>Arandela</v>
      </c>
      <c r="E138" s="39" t="s">
        <v>54</v>
      </c>
      <c r="F138" s="41">
        <v>2500.0</v>
      </c>
    </row>
    <row r="139" ht="22.5" customHeight="1">
      <c r="B139" s="42">
        <v>45827.0</v>
      </c>
      <c r="C139" s="38" t="s">
        <v>162</v>
      </c>
      <c r="D139" s="40" t="str">
        <f>Compras[Seleccion]</f>
        <v>Bolsa transporte peonza</v>
      </c>
      <c r="E139" s="39" t="s">
        <v>52</v>
      </c>
      <c r="F139" s="41">
        <v>500.0</v>
      </c>
    </row>
    <row r="140" ht="22.5" customHeight="1">
      <c r="B140" s="42">
        <v>45827.0</v>
      </c>
      <c r="C140" s="38" t="s">
        <v>121</v>
      </c>
      <c r="D140" s="40" t="str">
        <f>Compras[Seleccion]</f>
        <v>Lapices Tynie</v>
      </c>
      <c r="E140" s="39" t="s">
        <v>54</v>
      </c>
      <c r="F140" s="41">
        <v>5000.0</v>
      </c>
    </row>
    <row r="141" ht="22.5" customHeight="1">
      <c r="B141" s="42">
        <v>45828.0</v>
      </c>
      <c r="C141" s="38" t="s">
        <v>83</v>
      </c>
      <c r="D141" s="40" t="str">
        <f>Compras[Seleccion]</f>
        <v>Bolsa zip FlexiVox (transparente)</v>
      </c>
      <c r="E141" s="39" t="s">
        <v>54</v>
      </c>
      <c r="F141" s="41">
        <v>2500.0</v>
      </c>
    </row>
    <row r="142" ht="22.5" customHeight="1">
      <c r="B142" s="42">
        <v>45828.0</v>
      </c>
      <c r="C142" s="38" t="s">
        <v>87</v>
      </c>
      <c r="D142" s="40" t="str">
        <f>Compras[Seleccion]</f>
        <v>Bolsa zip FlexiVox (roja)</v>
      </c>
      <c r="E142" s="39" t="s">
        <v>54</v>
      </c>
      <c r="F142" s="41">
        <v>1000.0</v>
      </c>
    </row>
    <row r="143" ht="22.5" customHeight="1">
      <c r="B143" s="42">
        <v>45828.0</v>
      </c>
      <c r="C143" s="38" t="s">
        <v>89</v>
      </c>
      <c r="D143" s="40" t="str">
        <f>Compras[Seleccion]</f>
        <v>Bolsa zip FlexiVox (negra)</v>
      </c>
      <c r="E143" s="39" t="s">
        <v>54</v>
      </c>
      <c r="F143" s="41">
        <v>1000.0</v>
      </c>
    </row>
    <row r="144" ht="22.5" customHeight="1">
      <c r="B144" s="42">
        <v>45828.0</v>
      </c>
      <c r="C144" s="38" t="s">
        <v>113</v>
      </c>
      <c r="D144" s="40" t="str">
        <f>Compras[Seleccion]</f>
        <v>Bolsas calcio en polvo</v>
      </c>
      <c r="E144" s="39" t="s">
        <v>54</v>
      </c>
      <c r="F144" s="41">
        <v>500.0</v>
      </c>
    </row>
    <row r="145" ht="22.5" customHeight="1">
      <c r="B145" s="42">
        <v>45831.0</v>
      </c>
      <c r="C145" s="38" t="s">
        <v>76</v>
      </c>
      <c r="D145" s="40" t="str">
        <f>Compras[Seleccion]</f>
        <v>Ceras peonzas</v>
      </c>
      <c r="E145" s="39" t="s">
        <v>54</v>
      </c>
      <c r="F145" s="41">
        <v>5000.0</v>
      </c>
    </row>
    <row r="146" ht="22.5" customHeight="1">
      <c r="B146" s="42">
        <v>45832.0</v>
      </c>
      <c r="C146" s="38" t="s">
        <v>77</v>
      </c>
      <c r="D146" s="40" t="str">
        <f>Compras[Seleccion]</f>
        <v>Peonza tradi (52mm)</v>
      </c>
      <c r="E146" s="39" t="s">
        <v>54</v>
      </c>
      <c r="F146" s="41">
        <v>972.0</v>
      </c>
    </row>
    <row r="147" ht="22.5" customHeight="1">
      <c r="B147" s="42">
        <v>45771.0</v>
      </c>
      <c r="C147" s="38" t="s">
        <v>58</v>
      </c>
      <c r="D147" s="40" t="str">
        <f>Compras[Seleccion]</f>
        <v>Bolsas Blister</v>
      </c>
      <c r="E147" s="39" t="s">
        <v>54</v>
      </c>
      <c r="F147" s="41">
        <f>48*20+200</f>
        <v>1160</v>
      </c>
    </row>
    <row r="148" ht="22.5" customHeight="1">
      <c r="B148" s="42">
        <v>45772.0</v>
      </c>
      <c r="C148" s="38" t="s">
        <v>53</v>
      </c>
      <c r="D148" s="40" t="str">
        <f>Compras[Seleccion]</f>
        <v>Packaging calcio 4</v>
      </c>
      <c r="E148" s="39" t="s">
        <v>54</v>
      </c>
      <c r="F148" s="41">
        <v>10000.0</v>
      </c>
    </row>
    <row r="149" ht="22.5" customHeight="1">
      <c r="B149" s="40" t="s">
        <v>155</v>
      </c>
      <c r="C149" s="38" t="s">
        <v>63</v>
      </c>
      <c r="D149" s="40" t="str">
        <f>Compras[Seleccion]</f>
        <v>Torre 125 Blister 1 euro</v>
      </c>
      <c r="E149" s="39" t="s">
        <v>54</v>
      </c>
      <c r="F149" s="41">
        <v>-8.0</v>
      </c>
    </row>
    <row r="150" ht="22.5" customHeight="1">
      <c r="B150" s="40" t="s">
        <v>155</v>
      </c>
      <c r="C150" s="38" t="s">
        <v>62</v>
      </c>
      <c r="D150" s="40" t="str">
        <f>Compras[Seleccion]</f>
        <v>Flyer Blister 1 euro</v>
      </c>
      <c r="E150" s="39" t="s">
        <v>54</v>
      </c>
      <c r="F150" s="41">
        <v>-300.0</v>
      </c>
    </row>
    <row r="151" ht="22.5" customHeight="1">
      <c r="B151" s="40" t="s">
        <v>155</v>
      </c>
      <c r="C151" s="38" t="s">
        <v>50</v>
      </c>
      <c r="D151" s="40" t="str">
        <f>Compras[Seleccion]</f>
        <v>Tarjetas valoraciones</v>
      </c>
      <c r="E151" s="39" t="s">
        <v>54</v>
      </c>
      <c r="F151" s="41">
        <v>1400.0</v>
      </c>
    </row>
    <row r="152" ht="22.5" customHeight="1">
      <c r="B152" s="42">
        <v>45834.0</v>
      </c>
      <c r="C152" s="38" t="s">
        <v>62</v>
      </c>
      <c r="D152" s="40" t="str">
        <f>Compras[Seleccion]</f>
        <v>Flyer Blister 1 euro</v>
      </c>
      <c r="E152" s="39" t="s">
        <v>54</v>
      </c>
      <c r="F152" s="41">
        <v>2500.0</v>
      </c>
    </row>
    <row r="153" ht="22.5" customHeight="1">
      <c r="B153" s="42">
        <v>45834.0</v>
      </c>
      <c r="C153" s="38" t="s">
        <v>50</v>
      </c>
      <c r="D153" s="40" t="str">
        <f>Compras[Seleccion]</f>
        <v>Tarjetas valoraciones</v>
      </c>
      <c r="E153" s="39" t="s">
        <v>54</v>
      </c>
      <c r="F153" s="41">
        <v>10000.0</v>
      </c>
    </row>
    <row r="154" ht="22.5" customHeight="1">
      <c r="B154" s="42">
        <v>45834.0</v>
      </c>
      <c r="C154" s="38" t="s">
        <v>99</v>
      </c>
      <c r="D154" s="40" t="str">
        <f>Compras[Seleccion]</f>
        <v>Tapon 3d set FlexiVox (rojo)</v>
      </c>
      <c r="E154" s="39" t="s">
        <v>54</v>
      </c>
      <c r="F154" s="41">
        <v>520.0</v>
      </c>
    </row>
    <row r="155" ht="22.5" customHeight="1">
      <c r="B155" s="40" t="s">
        <v>155</v>
      </c>
      <c r="C155" s="38" t="s">
        <v>117</v>
      </c>
      <c r="D155" s="40" t="str">
        <f>Compras[Seleccion]</f>
        <v>Pack Mix 400 blister</v>
      </c>
      <c r="E155" s="39" t="s">
        <v>54</v>
      </c>
      <c r="F155" s="41">
        <v>3.0</v>
      </c>
    </row>
    <row r="156" ht="22.5" customHeight="1">
      <c r="B156" s="42">
        <v>45835.0</v>
      </c>
      <c r="C156" s="38" t="s">
        <v>94</v>
      </c>
      <c r="D156" s="40" t="str">
        <f>Compras[Seleccion]</f>
        <v>Tapon 3d set FlexiVox (negro)</v>
      </c>
      <c r="E156" s="39" t="s">
        <v>54</v>
      </c>
      <c r="F156" s="41">
        <f>228+12+23</f>
        <v>263</v>
      </c>
    </row>
    <row r="157" ht="22.5" customHeight="1">
      <c r="B157" s="42">
        <v>45835.0</v>
      </c>
      <c r="C157" s="38" t="s">
        <v>99</v>
      </c>
      <c r="D157" s="40" t="str">
        <f>Compras[Seleccion]</f>
        <v>Tapon 3d set FlexiVox (rojo)</v>
      </c>
      <c r="E157" s="39" t="s">
        <v>54</v>
      </c>
      <c r="F157" s="41">
        <v>520.0</v>
      </c>
    </row>
    <row r="158" ht="22.5" customHeight="1">
      <c r="B158" s="42">
        <v>45838.0</v>
      </c>
      <c r="C158" s="38" t="s">
        <v>58</v>
      </c>
      <c r="D158" s="40" t="str">
        <f>Compras[Seleccion]</f>
        <v>Bolsas Blister</v>
      </c>
      <c r="E158" s="39" t="s">
        <v>54</v>
      </c>
      <c r="F158" s="41">
        <v>10000.0</v>
      </c>
    </row>
    <row r="159" ht="22.5" customHeight="1">
      <c r="B159" s="40" t="s">
        <v>155</v>
      </c>
      <c r="C159" s="38" t="s">
        <v>61</v>
      </c>
      <c r="D159" s="40" t="str">
        <f>Compras[Seleccion]</f>
        <v>Torre 125 Blister 2 euro</v>
      </c>
      <c r="E159" s="39" t="s">
        <v>54</v>
      </c>
      <c r="F159" s="41">
        <v>32.0</v>
      </c>
    </row>
    <row r="160" ht="22.5" customHeight="1">
      <c r="B160" s="42">
        <v>45839.0</v>
      </c>
      <c r="C160" s="38" t="s">
        <v>105</v>
      </c>
      <c r="D160" s="40" t="str">
        <f>Compras[Seleccion]</f>
        <v>Mast 45/7 - 3mm</v>
      </c>
      <c r="E160" s="39" t="s">
        <v>106</v>
      </c>
      <c r="F160" s="41">
        <v>350000.0</v>
      </c>
    </row>
    <row r="161" ht="22.5" customHeight="1">
      <c r="B161" s="40" t="s">
        <v>163</v>
      </c>
      <c r="C161" s="38" t="s">
        <v>95</v>
      </c>
      <c r="D161" s="40" t="str">
        <f>Compras[Seleccion]</f>
        <v>Tapon estanco set FlexiVox</v>
      </c>
      <c r="E161" s="39" t="s">
        <v>54</v>
      </c>
      <c r="F161" s="41">
        <v>21.0</v>
      </c>
    </row>
    <row r="162" ht="22.5" customHeight="1">
      <c r="B162" s="40" t="s">
        <v>163</v>
      </c>
      <c r="C162" s="38" t="s">
        <v>86</v>
      </c>
      <c r="D162" s="40" t="str">
        <f>Compras[Seleccion]</f>
        <v>Manguera FlexiVox (transparente)</v>
      </c>
      <c r="E162" s="39" t="s">
        <v>54</v>
      </c>
      <c r="F162" s="41">
        <v>19.0</v>
      </c>
    </row>
    <row r="163" ht="22.5" customHeight="1">
      <c r="B163" s="40" t="s">
        <v>163</v>
      </c>
      <c r="C163" s="38" t="s">
        <v>88</v>
      </c>
      <c r="D163" s="40" t="str">
        <f>Compras[Seleccion]</f>
        <v>Manguera FlexiVox (roja)</v>
      </c>
      <c r="E163" s="39" t="s">
        <v>54</v>
      </c>
      <c r="F163" s="41">
        <v>3.0</v>
      </c>
    </row>
    <row r="164" ht="22.5" customHeight="1">
      <c r="B164" s="40" t="s">
        <v>163</v>
      </c>
      <c r="C164" s="38" t="s">
        <v>90</v>
      </c>
      <c r="D164" s="40" t="str">
        <f>Compras[Seleccion]</f>
        <v>Manguera FlexiVox (negra)</v>
      </c>
      <c r="E164" s="39" t="s">
        <v>54</v>
      </c>
      <c r="F164" s="41">
        <v>7.0</v>
      </c>
    </row>
    <row r="165" ht="22.5" customHeight="1">
      <c r="B165" s="42">
        <v>45841.0</v>
      </c>
      <c r="C165" s="38" t="s">
        <v>76</v>
      </c>
      <c r="D165" s="40" t="str">
        <f>Compras[Seleccion]</f>
        <v>Ceras peonzas</v>
      </c>
      <c r="E165" s="39" t="s">
        <v>54</v>
      </c>
      <c r="F165" s="41">
        <v>5000.0</v>
      </c>
    </row>
    <row r="166" ht="22.5" customHeight="1">
      <c r="B166" s="42">
        <v>45841.0</v>
      </c>
      <c r="C166" s="38" t="s">
        <v>121</v>
      </c>
      <c r="D166" s="40" t="str">
        <f>Compras[Seleccion]</f>
        <v>Lapices Tynie</v>
      </c>
      <c r="E166" s="39" t="s">
        <v>54</v>
      </c>
      <c r="F166" s="41">
        <v>5000.0</v>
      </c>
    </row>
    <row r="167" ht="22.5" customHeight="1">
      <c r="B167" s="42">
        <v>45841.0</v>
      </c>
      <c r="C167" s="38" t="s">
        <v>124</v>
      </c>
      <c r="D167" s="40" t="str">
        <f>Compras[Seleccion]</f>
        <v>Lapices Girls</v>
      </c>
      <c r="E167" s="39" t="s">
        <v>54</v>
      </c>
      <c r="F167" s="41">
        <v>5000.0</v>
      </c>
    </row>
    <row r="168" ht="22.5" customHeight="1">
      <c r="B168" s="42">
        <v>45852.0</v>
      </c>
      <c r="C168" s="38" t="s">
        <v>109</v>
      </c>
      <c r="D168" s="40" t="str">
        <f>Compras[Seleccion]</f>
        <v>Comida Gammarus</v>
      </c>
      <c r="E168" s="39" t="s">
        <v>106</v>
      </c>
      <c r="F168" s="41">
        <v>37000.0</v>
      </c>
    </row>
    <row r="169" ht="22.5" customHeight="1">
      <c r="B169" s="42">
        <v>45852.0</v>
      </c>
      <c r="C169" s="38" t="s">
        <v>133</v>
      </c>
      <c r="D169" s="40" t="str">
        <f>Compras[Seleccion]</f>
        <v>Gusanos de la harina secos</v>
      </c>
      <c r="E169" s="39" t="s">
        <v>106</v>
      </c>
      <c r="F169" s="41">
        <v>150000.0</v>
      </c>
    </row>
    <row r="170" ht="22.5" customHeight="1">
      <c r="B170" s="42">
        <v>45852.0</v>
      </c>
      <c r="C170" s="38" t="s">
        <v>104</v>
      </c>
      <c r="D170" s="40" t="str">
        <f>Compras[Seleccion]</f>
        <v>Vaso medidor 10ml</v>
      </c>
      <c r="E170" s="39" t="s">
        <v>54</v>
      </c>
      <c r="F170" s="41">
        <v>4200.0</v>
      </c>
    </row>
    <row r="171" ht="22.5" customHeight="1">
      <c r="B171" s="42">
        <v>45852.0</v>
      </c>
      <c r="C171" s="38" t="s">
        <v>12</v>
      </c>
      <c r="D171" s="40" t="str">
        <f>Compras[Seleccion]</f>
        <v>Calcio en polvo tortugas</v>
      </c>
      <c r="E171" s="39" t="s">
        <v>106</v>
      </c>
      <c r="F171" s="41">
        <v>50000.0</v>
      </c>
    </row>
    <row r="172" ht="22.5" customHeight="1">
      <c r="B172" s="42">
        <v>45853.0</v>
      </c>
      <c r="C172" s="38" t="s">
        <v>74</v>
      </c>
      <c r="D172" s="40" t="str">
        <f>Compras[Seleccion]</f>
        <v>Bolsa amarilla</v>
      </c>
      <c r="E172" s="39" t="s">
        <v>54</v>
      </c>
      <c r="F172" s="41">
        <v>250.0</v>
      </c>
    </row>
    <row r="173" ht="22.5" customHeight="1">
      <c r="B173" s="42">
        <v>45853.0</v>
      </c>
      <c r="C173" s="38" t="s">
        <v>75</v>
      </c>
      <c r="D173" s="40" t="str">
        <f>Compras[Seleccion]</f>
        <v>Bolsa naranja</v>
      </c>
      <c r="E173" s="39" t="s">
        <v>54</v>
      </c>
      <c r="F173" s="41">
        <v>750.0</v>
      </c>
    </row>
    <row r="174" ht="22.5" customHeight="1">
      <c r="B174" s="42">
        <v>45853.0</v>
      </c>
      <c r="C174" s="38" t="s">
        <v>80</v>
      </c>
      <c r="D174" s="40" t="str">
        <f>Compras[Seleccion]</f>
        <v>Bolsa roja</v>
      </c>
      <c r="E174" s="39" t="s">
        <v>54</v>
      </c>
      <c r="F174" s="41">
        <v>500.0</v>
      </c>
    </row>
    <row r="175" ht="22.5" customHeight="1">
      <c r="B175" s="42">
        <v>45853.0</v>
      </c>
      <c r="C175" s="38" t="s">
        <v>81</v>
      </c>
      <c r="D175" s="40" t="str">
        <f>Compras[Seleccion]</f>
        <v>Bolsa verde</v>
      </c>
      <c r="E175" s="39" t="s">
        <v>54</v>
      </c>
      <c r="F175" s="41">
        <v>500.0</v>
      </c>
    </row>
    <row r="176" ht="22.5" customHeight="1">
      <c r="B176" s="40" t="s">
        <v>161</v>
      </c>
      <c r="C176" s="38" t="s">
        <v>74</v>
      </c>
      <c r="D176" s="40" t="str">
        <f>Compras[Seleccion]</f>
        <v>Bolsa amarilla</v>
      </c>
      <c r="E176" s="39" t="s">
        <v>54</v>
      </c>
      <c r="F176" s="41">
        <v>1528.0</v>
      </c>
    </row>
    <row r="177" ht="22.5" customHeight="1">
      <c r="B177" s="40" t="s">
        <v>161</v>
      </c>
      <c r="C177" s="38" t="s">
        <v>75</v>
      </c>
      <c r="D177" s="40" t="str">
        <f>Compras[Seleccion]</f>
        <v>Bolsa naranja</v>
      </c>
      <c r="E177" s="39" t="s">
        <v>54</v>
      </c>
      <c r="F177" s="41">
        <f>523+1528+29</f>
        <v>2080</v>
      </c>
    </row>
    <row r="178" ht="22.5" customHeight="1">
      <c r="B178" s="40" t="s">
        <v>161</v>
      </c>
      <c r="C178" s="38" t="s">
        <v>80</v>
      </c>
      <c r="D178" s="40" t="str">
        <f>Compras[Seleccion]</f>
        <v>Bolsa roja</v>
      </c>
      <c r="E178" s="39" t="s">
        <v>54</v>
      </c>
      <c r="F178" s="41">
        <f t="shared" ref="F178:F179" si="3">81+471</f>
        <v>552</v>
      </c>
    </row>
    <row r="179" ht="22.5" customHeight="1">
      <c r="B179" s="40" t="s">
        <v>161</v>
      </c>
      <c r="C179" s="38" t="s">
        <v>81</v>
      </c>
      <c r="D179" s="40" t="str">
        <f>Compras[Seleccion]</f>
        <v>Bolsa verde</v>
      </c>
      <c r="E179" s="39" t="s">
        <v>54</v>
      </c>
      <c r="F179" s="41">
        <f t="shared" si="3"/>
        <v>552</v>
      </c>
    </row>
    <row r="180" ht="22.5" customHeight="1">
      <c r="B180" s="42">
        <v>45854.0</v>
      </c>
      <c r="C180" s="38" t="s">
        <v>61</v>
      </c>
      <c r="D180" s="40" t="str">
        <f>Compras[Seleccion]</f>
        <v>Torre 125 Blister 2 euro</v>
      </c>
      <c r="E180" s="39" t="s">
        <v>54</v>
      </c>
      <c r="F180" s="41">
        <v>2400.0</v>
      </c>
    </row>
    <row r="181" ht="22.5" customHeight="1">
      <c r="B181" s="42">
        <v>45854.0</v>
      </c>
      <c r="C181" s="38" t="s">
        <v>63</v>
      </c>
      <c r="D181" s="40" t="str">
        <f>Compras[Seleccion]</f>
        <v>Torre 125 Blister 1 euro</v>
      </c>
      <c r="E181" s="39" t="s">
        <v>54</v>
      </c>
      <c r="F181" s="41">
        <v>2400.0</v>
      </c>
    </row>
    <row r="182" ht="22.5" customHeight="1">
      <c r="B182" s="42">
        <v>45854.0</v>
      </c>
      <c r="C182" s="38" t="s">
        <v>65</v>
      </c>
      <c r="D182" s="40" t="str">
        <f>Compras[Seleccion]</f>
        <v>Torre 125 Blister 50 cts</v>
      </c>
      <c r="E182" s="39" t="s">
        <v>54</v>
      </c>
      <c r="F182" s="41">
        <v>504.0</v>
      </c>
    </row>
    <row r="183" ht="22.5" customHeight="1">
      <c r="B183" s="42">
        <v>45854.0</v>
      </c>
      <c r="C183" s="38" t="s">
        <v>66</v>
      </c>
      <c r="D183" s="40" t="str">
        <f>Compras[Seleccion]</f>
        <v>Torre 125 Blister 20 cts</v>
      </c>
      <c r="E183" s="39" t="s">
        <v>54</v>
      </c>
      <c r="F183" s="41">
        <v>480.0</v>
      </c>
    </row>
    <row r="184" ht="22.5" customHeight="1">
      <c r="B184" s="42">
        <v>45854.0</v>
      </c>
      <c r="C184" s="38" t="s">
        <v>67</v>
      </c>
      <c r="D184" s="40" t="str">
        <f>Compras[Seleccion]</f>
        <v>Torre 125 Blister 10 cts</v>
      </c>
      <c r="E184" s="39" t="s">
        <v>54</v>
      </c>
      <c r="F184" s="41">
        <v>392.0</v>
      </c>
    </row>
    <row r="185" ht="22.5" customHeight="1">
      <c r="B185" s="42">
        <v>45854.0</v>
      </c>
      <c r="C185" s="38" t="s">
        <v>68</v>
      </c>
      <c r="D185" s="40" t="str">
        <f>Compras[Seleccion]</f>
        <v>Torre 125 Blister 5 cts</v>
      </c>
      <c r="E185" s="39" t="s">
        <v>54</v>
      </c>
      <c r="F185" s="41">
        <f>144-14</f>
        <v>130</v>
      </c>
    </row>
    <row r="186" ht="22.5" customHeight="1">
      <c r="B186" s="42">
        <v>45854.0</v>
      </c>
      <c r="C186" s="38" t="s">
        <v>69</v>
      </c>
      <c r="D186" s="40" t="str">
        <f>Compras[Seleccion]</f>
        <v>Torre 125 Blister 2 cts</v>
      </c>
      <c r="E186" s="39" t="s">
        <v>54</v>
      </c>
      <c r="F186" s="41">
        <v>152.0</v>
      </c>
    </row>
    <row r="187" ht="22.5" customHeight="1">
      <c r="B187" s="42">
        <v>45854.0</v>
      </c>
      <c r="C187" s="38" t="s">
        <v>70</v>
      </c>
      <c r="D187" s="40" t="str">
        <f>Compras[Seleccion]</f>
        <v>Torre 125 Blister 1 cts</v>
      </c>
      <c r="E187" s="39" t="s">
        <v>54</v>
      </c>
      <c r="F187" s="41">
        <v>96.0</v>
      </c>
    </row>
    <row r="188" ht="22.5" customHeight="1">
      <c r="B188" s="42">
        <v>45854.0</v>
      </c>
      <c r="C188" s="38" t="s">
        <v>73</v>
      </c>
      <c r="D188" s="40" t="str">
        <f>Compras[Seleccion]</f>
        <v>Pack Mix 200 blister</v>
      </c>
      <c r="E188" s="39" t="s">
        <v>54</v>
      </c>
      <c r="F188" s="41">
        <v>648.0</v>
      </c>
    </row>
    <row r="189" ht="22.5" customHeight="1">
      <c r="B189" s="42">
        <v>45854.0</v>
      </c>
      <c r="C189" s="38" t="s">
        <v>117</v>
      </c>
      <c r="D189" s="40" t="str">
        <f>Compras[Seleccion]</f>
        <v>Pack Mix 400 blister</v>
      </c>
      <c r="E189" s="39" t="s">
        <v>54</v>
      </c>
      <c r="F189" s="41">
        <v>140.0</v>
      </c>
    </row>
    <row r="190" ht="22.5" customHeight="1">
      <c r="B190" s="40" t="s">
        <v>161</v>
      </c>
      <c r="C190" s="38" t="s">
        <v>12</v>
      </c>
      <c r="D190" s="40" t="str">
        <f>Compras[Seleccion]</f>
        <v>Calcio en polvo tortugas</v>
      </c>
      <c r="E190" s="39" t="s">
        <v>106</v>
      </c>
      <c r="F190" s="41">
        <v>11250.0</v>
      </c>
    </row>
    <row r="191" ht="22.5" customHeight="1">
      <c r="B191" s="42">
        <v>45854.0</v>
      </c>
      <c r="C191" s="38" t="s">
        <v>94</v>
      </c>
      <c r="D191" s="40" t="str">
        <f>Compras[Seleccion]</f>
        <v>Tapon 3d set FlexiVox (negro)</v>
      </c>
      <c r="E191" s="39" t="s">
        <v>54</v>
      </c>
      <c r="F191" s="41">
        <v>424.0</v>
      </c>
    </row>
    <row r="192" ht="22.5" customHeight="1">
      <c r="B192" s="40" t="s">
        <v>155</v>
      </c>
      <c r="C192" s="38" t="s">
        <v>82</v>
      </c>
      <c r="D192" s="40" t="str">
        <f>Compras[Seleccion]</f>
        <v>Peonza mini (48mm)</v>
      </c>
      <c r="E192" s="39" t="s">
        <v>54</v>
      </c>
      <c r="F192" s="41">
        <v>-184.0</v>
      </c>
    </row>
    <row r="193" ht="22.5" customHeight="1">
      <c r="B193" s="40" t="s">
        <v>161</v>
      </c>
      <c r="C193" s="38" t="s">
        <v>78</v>
      </c>
      <c r="D193" s="40" t="str">
        <f>Compras[Seleccion]</f>
        <v>Arandela</v>
      </c>
      <c r="E193" s="39" t="s">
        <v>54</v>
      </c>
      <c r="F193" s="41">
        <v>191.0</v>
      </c>
    </row>
    <row r="194" ht="22.5" customHeight="1">
      <c r="B194" s="40" t="s">
        <v>164</v>
      </c>
      <c r="C194" s="38" t="s">
        <v>69</v>
      </c>
      <c r="D194" s="40" t="str">
        <f>Compras[Seleccion]</f>
        <v>Torre 125 Blister 2 cts</v>
      </c>
      <c r="E194" s="39" t="s">
        <v>54</v>
      </c>
      <c r="F194" s="41">
        <v>76.0</v>
      </c>
    </row>
    <row r="195" ht="22.5" customHeight="1">
      <c r="B195" s="42">
        <v>45859.0</v>
      </c>
      <c r="C195" s="38" t="s">
        <v>112</v>
      </c>
      <c r="D195" s="40" t="str">
        <f>Compras[Seleccion]</f>
        <v>Vaso medidor calcio en polvo</v>
      </c>
      <c r="E195" s="39" t="s">
        <v>54</v>
      </c>
      <c r="F195" s="41">
        <v>1000.0</v>
      </c>
    </row>
    <row r="196" ht="22.5" customHeight="1">
      <c r="B196" s="42">
        <v>45859.0</v>
      </c>
      <c r="C196" s="38" t="s">
        <v>72</v>
      </c>
      <c r="D196" s="40" t="str">
        <f>Compras[Seleccion]</f>
        <v>Pegatina 200 Mix blister</v>
      </c>
      <c r="E196" s="39" t="s">
        <v>54</v>
      </c>
      <c r="F196" s="41">
        <v>1000.0</v>
      </c>
    </row>
    <row r="197" ht="22.5" customHeight="1">
      <c r="B197" s="40" t="s">
        <v>161</v>
      </c>
      <c r="C197" s="38" t="s">
        <v>72</v>
      </c>
      <c r="D197" s="40" t="str">
        <f>Compras[Seleccion]</f>
        <v>Pegatina 200 Mix blister</v>
      </c>
      <c r="E197" s="39" t="s">
        <v>54</v>
      </c>
      <c r="F197" s="41">
        <v>1872.0</v>
      </c>
    </row>
    <row r="198" ht="22.5" customHeight="1">
      <c r="B198" s="40" t="s">
        <v>161</v>
      </c>
      <c r="C198" s="38" t="s">
        <v>116</v>
      </c>
      <c r="D198" s="40" t="str">
        <f>Compras[Seleccion]</f>
        <v>Pegatina 400 Mix blister</v>
      </c>
      <c r="E198" s="39" t="s">
        <v>54</v>
      </c>
      <c r="F198" s="41">
        <v>483.0</v>
      </c>
    </row>
    <row r="199" ht="22.5" customHeight="1">
      <c r="B199" s="40" t="s">
        <v>161</v>
      </c>
      <c r="C199" s="38" t="s">
        <v>119</v>
      </c>
      <c r="D199" s="40" t="str">
        <f>Compras[Seleccion]</f>
        <v>Pegatina Pack 126 ceras</v>
      </c>
      <c r="E199" s="39" t="s">
        <v>54</v>
      </c>
      <c r="F199" s="41">
        <v>1092.0</v>
      </c>
    </row>
    <row r="200" ht="22.5" customHeight="1">
      <c r="B200" s="40" t="s">
        <v>161</v>
      </c>
      <c r="C200" s="38" t="s">
        <v>122</v>
      </c>
      <c r="D200" s="40" t="str">
        <f>Compras[Seleccion]</f>
        <v>Pegatina Caja 50 pack 4 lapices</v>
      </c>
      <c r="E200" s="39" t="s">
        <v>54</v>
      </c>
      <c r="F200" s="41">
        <v>280.0</v>
      </c>
    </row>
    <row r="201" ht="22.5" customHeight="1">
      <c r="B201" s="40" t="s">
        <v>161</v>
      </c>
      <c r="C201" s="38" t="s">
        <v>125</v>
      </c>
      <c r="D201" s="40" t="str">
        <f>Compras[Seleccion]</f>
        <v>Pegatina Caja 25 pack 6 lapices</v>
      </c>
      <c r="E201" s="39" t="s">
        <v>54</v>
      </c>
      <c r="F201" s="41">
        <v>560.0</v>
      </c>
    </row>
    <row r="202" ht="22.5" customHeight="1">
      <c r="B202" s="40" t="s">
        <v>161</v>
      </c>
      <c r="C202" s="38" t="s">
        <v>129</v>
      </c>
      <c r="D202" s="40" t="str">
        <f>Compras[Seleccion]</f>
        <v>Pegatina Menu grande</v>
      </c>
      <c r="E202" s="39" t="s">
        <v>52</v>
      </c>
      <c r="F202" s="41">
        <v>153.0</v>
      </c>
    </row>
    <row r="203" ht="22.5" customHeight="1">
      <c r="B203" s="40" t="s">
        <v>161</v>
      </c>
      <c r="C203" s="38" t="s">
        <v>165</v>
      </c>
      <c r="D203" s="40" t="str">
        <f>Compras[Seleccion]</f>
        <v>Pegatina Gusanos de la harina</v>
      </c>
      <c r="E203" s="39" t="s">
        <v>52</v>
      </c>
      <c r="F203" s="41">
        <v>54.0</v>
      </c>
    </row>
    <row r="204" ht="22.5" customHeight="1">
      <c r="B204" s="42">
        <v>45861.0</v>
      </c>
      <c r="C204" s="38" t="s">
        <v>129</v>
      </c>
      <c r="D204" s="40" t="str">
        <f>Compras[Seleccion]</f>
        <v>Pegatina Menu grande</v>
      </c>
      <c r="E204" s="39" t="s">
        <v>52</v>
      </c>
      <c r="F204" s="41">
        <v>500.0</v>
      </c>
    </row>
    <row r="205" ht="22.5" customHeight="1">
      <c r="B205" s="42">
        <v>45861.0</v>
      </c>
      <c r="C205" s="38" t="s">
        <v>165</v>
      </c>
      <c r="D205" s="40" t="str">
        <f>Compras[Seleccion]</f>
        <v>Pegatina Gusanos de la harina</v>
      </c>
      <c r="E205" s="39" t="s">
        <v>52</v>
      </c>
      <c r="F205" s="41">
        <v>500.0</v>
      </c>
    </row>
    <row r="206" ht="22.5" customHeight="1">
      <c r="B206" s="42">
        <v>45861.0</v>
      </c>
      <c r="C206" s="38" t="s">
        <v>78</v>
      </c>
      <c r="D206" s="40" t="str">
        <f>Compras[Seleccion]</f>
        <v>Arandela</v>
      </c>
      <c r="E206" s="39" t="s">
        <v>54</v>
      </c>
      <c r="F206" s="41">
        <v>7000.0</v>
      </c>
    </row>
    <row r="207" ht="22.5" customHeight="1">
      <c r="B207" s="42">
        <v>45861.0</v>
      </c>
      <c r="C207" s="38" t="s">
        <v>110</v>
      </c>
      <c r="D207" s="40" t="str">
        <f>Compras[Seleccion]</f>
        <v>bolsa zip 75g Gammarus</v>
      </c>
      <c r="E207" s="39" t="s">
        <v>54</v>
      </c>
      <c r="F207" s="41">
        <v>3000.0</v>
      </c>
    </row>
    <row r="208" ht="22.5" customHeight="1">
      <c r="B208" s="42">
        <v>45861.0</v>
      </c>
      <c r="C208" s="38" t="s">
        <v>107</v>
      </c>
      <c r="D208" s="40" t="str">
        <f>Compras[Seleccion]</f>
        <v>bolsa zip Menu Junior</v>
      </c>
      <c r="E208" s="39" t="s">
        <v>54</v>
      </c>
      <c r="F208" s="41">
        <v>3000.0</v>
      </c>
    </row>
    <row r="209" ht="22.5" customHeight="1">
      <c r="B209" s="42">
        <v>45863.0</v>
      </c>
      <c r="C209" s="38" t="s">
        <v>50</v>
      </c>
      <c r="D209" s="40" t="str">
        <f>Compras[Seleccion]</f>
        <v>Tarjetas valoraciones</v>
      </c>
      <c r="E209" s="39" t="s">
        <v>54</v>
      </c>
      <c r="F209" s="41">
        <v>10000.0</v>
      </c>
    </row>
    <row r="210" ht="22.5" customHeight="1">
      <c r="B210" s="42">
        <v>45863.0</v>
      </c>
      <c r="C210" s="38" t="s">
        <v>62</v>
      </c>
      <c r="D210" s="40" t="str">
        <f>Compras[Seleccion]</f>
        <v>Flyer Blister 1 euro</v>
      </c>
      <c r="E210" s="39" t="s">
        <v>54</v>
      </c>
      <c r="F210" s="41">
        <v>2500.0</v>
      </c>
    </row>
    <row r="211" ht="22.5" customHeight="1">
      <c r="B211" s="42">
        <v>45866.0</v>
      </c>
      <c r="C211" s="38" t="s">
        <v>95</v>
      </c>
      <c r="D211" s="40" t="str">
        <f>Compras[Seleccion]</f>
        <v>Tapon estanco set FlexiVox</v>
      </c>
      <c r="E211" s="39" t="s">
        <v>54</v>
      </c>
      <c r="F211" s="41">
        <v>10000.0</v>
      </c>
    </row>
    <row r="212" ht="22.5" customHeight="1">
      <c r="B212" s="42">
        <v>45868.0</v>
      </c>
      <c r="C212" s="38" t="s">
        <v>50</v>
      </c>
      <c r="D212" s="40" t="str">
        <f>Compras[Seleccion]</f>
        <v>Tarjetas valoraciones</v>
      </c>
      <c r="E212" s="39" t="s">
        <v>54</v>
      </c>
      <c r="F212" s="41">
        <v>10000.0</v>
      </c>
    </row>
    <row r="213" ht="22.5" customHeight="1">
      <c r="B213" s="42">
        <v>45868.0</v>
      </c>
      <c r="C213" s="38" t="s">
        <v>86</v>
      </c>
      <c r="D213" s="40" t="str">
        <f>Compras[Seleccion]</f>
        <v>Manguera FlexiVox (transparente)</v>
      </c>
      <c r="E213" s="39" t="s">
        <v>54</v>
      </c>
      <c r="F213" s="41">
        <v>195.0</v>
      </c>
    </row>
    <row r="214" ht="22.5" customHeight="1">
      <c r="B214" s="42">
        <v>45868.0</v>
      </c>
      <c r="C214" s="38" t="s">
        <v>88</v>
      </c>
      <c r="D214" s="40" t="str">
        <f>Compras[Seleccion]</f>
        <v>Manguera FlexiVox (roja)</v>
      </c>
      <c r="E214" s="39" t="s">
        <v>54</v>
      </c>
      <c r="F214" s="41">
        <v>98.0</v>
      </c>
    </row>
    <row r="215" ht="22.5" customHeight="1">
      <c r="B215" s="42">
        <v>45868.0</v>
      </c>
      <c r="C215" s="38" t="s">
        <v>90</v>
      </c>
      <c r="D215" s="40" t="str">
        <f>Compras[Seleccion]</f>
        <v>Manguera FlexiVox (negra)</v>
      </c>
      <c r="E215" s="39" t="s">
        <v>54</v>
      </c>
      <c r="F215" s="41">
        <v>27.0</v>
      </c>
    </row>
    <row r="216" ht="22.5" customHeight="1">
      <c r="B216" s="42">
        <v>45868.0</v>
      </c>
      <c r="C216" s="38" t="s">
        <v>130</v>
      </c>
      <c r="D216" s="40" t="str">
        <f>Compras[Seleccion]</f>
        <v>Tupper rectangular</v>
      </c>
      <c r="E216" s="39" t="s">
        <v>52</v>
      </c>
      <c r="F216" s="41">
        <v>840.0</v>
      </c>
    </row>
    <row r="217" ht="22.5" customHeight="1">
      <c r="B217" s="42">
        <v>45868.0</v>
      </c>
      <c r="C217" s="38" t="s">
        <v>55</v>
      </c>
      <c r="D217" s="40" t="str">
        <f>Compras[Seleccion]</f>
        <v>Calcio en pastillas tortugas</v>
      </c>
      <c r="E217" s="39" t="s">
        <v>54</v>
      </c>
      <c r="F217" s="41">
        <v>4800.0</v>
      </c>
    </row>
    <row r="218" ht="22.5" customHeight="1">
      <c r="B218" s="40" t="s">
        <v>166</v>
      </c>
      <c r="C218" s="38" t="s">
        <v>133</v>
      </c>
      <c r="D218" s="40" t="str">
        <f>Compras[Seleccion]</f>
        <v>Gusanos de la harina secos</v>
      </c>
      <c r="E218" s="39" t="s">
        <v>106</v>
      </c>
      <c r="F218" s="41">
        <v>-14700.0</v>
      </c>
    </row>
    <row r="219" ht="22.5" customHeight="1">
      <c r="B219" s="40" t="s">
        <v>166</v>
      </c>
      <c r="C219" s="38" t="s">
        <v>105</v>
      </c>
      <c r="D219" s="40" t="str">
        <f>Compras[Seleccion]</f>
        <v>Mast 45/7 - 3mm</v>
      </c>
      <c r="E219" s="39" t="s">
        <v>106</v>
      </c>
      <c r="F219" s="41">
        <v>-28800.0</v>
      </c>
    </row>
    <row r="220" ht="22.5" customHeight="1">
      <c r="B220" s="42">
        <v>45870.0</v>
      </c>
      <c r="C220" s="38" t="s">
        <v>133</v>
      </c>
      <c r="D220" s="40" t="str">
        <f>Compras[Seleccion]</f>
        <v>Gusanos de la harina secos</v>
      </c>
      <c r="E220" s="39" t="s">
        <v>106</v>
      </c>
      <c r="F220" s="41">
        <v>15000.0</v>
      </c>
    </row>
    <row r="221" ht="22.5" customHeight="1">
      <c r="B221" s="42">
        <v>45870.0</v>
      </c>
      <c r="C221" s="38" t="s">
        <v>109</v>
      </c>
      <c r="D221" s="40" t="str">
        <f>Compras[Seleccion]</f>
        <v>Comida Gammarus</v>
      </c>
      <c r="E221" s="39" t="s">
        <v>106</v>
      </c>
      <c r="F221" s="41">
        <v>8000.0</v>
      </c>
    </row>
    <row r="222" ht="22.5" customHeight="1">
      <c r="B222" s="42">
        <v>45870.0</v>
      </c>
      <c r="C222" s="38" t="s">
        <v>105</v>
      </c>
      <c r="D222" s="40" t="str">
        <f>Compras[Seleccion]</f>
        <v>Mast 45/7 - 3mm</v>
      </c>
      <c r="E222" s="39" t="s">
        <v>106</v>
      </c>
      <c r="F222" s="41">
        <v>10000.0</v>
      </c>
    </row>
    <row r="223" ht="22.5" customHeight="1">
      <c r="B223" s="40" t="s">
        <v>167</v>
      </c>
      <c r="C223" s="38" t="s">
        <v>109</v>
      </c>
      <c r="D223" s="40" t="str">
        <f>Compras[Seleccion]</f>
        <v>Comida Gammarus</v>
      </c>
      <c r="E223" s="39" t="s">
        <v>106</v>
      </c>
      <c r="F223" s="41">
        <v>-1250.0</v>
      </c>
    </row>
    <row r="224" ht="22.5" customHeight="1">
      <c r="B224" s="42">
        <v>45875.0</v>
      </c>
      <c r="C224" s="38" t="s">
        <v>105</v>
      </c>
      <c r="D224" s="40" t="str">
        <f>Compras[Seleccion]</f>
        <v>Mast 45/7 - 3mm</v>
      </c>
      <c r="E224" s="39" t="s">
        <v>106</v>
      </c>
      <c r="F224" s="41">
        <v>500000.0</v>
      </c>
    </row>
    <row r="225" ht="22.5" customHeight="1">
      <c r="B225" s="40" t="s">
        <v>168</v>
      </c>
      <c r="C225" s="38" t="s">
        <v>105</v>
      </c>
      <c r="D225" s="40" t="str">
        <f>Compras[Seleccion]</f>
        <v>Mast 45/7 - 3mm</v>
      </c>
      <c r="E225" s="39" t="s">
        <v>106</v>
      </c>
      <c r="F225" s="41">
        <v>10000.0</v>
      </c>
    </row>
    <row r="226" ht="22.5" customHeight="1">
      <c r="B226" s="42">
        <v>45887.0</v>
      </c>
      <c r="C226" s="38" t="s">
        <v>74</v>
      </c>
      <c r="D226" s="40" t="str">
        <f>Compras[Seleccion]</f>
        <v>Bolsa amarilla</v>
      </c>
      <c r="E226" s="39" t="s">
        <v>54</v>
      </c>
      <c r="F226" s="41">
        <v>1750.0</v>
      </c>
    </row>
    <row r="227" ht="22.5" customHeight="1">
      <c r="B227" s="42">
        <v>45887.0</v>
      </c>
      <c r="C227" s="38" t="s">
        <v>75</v>
      </c>
      <c r="D227" s="40" t="str">
        <f>Compras[Seleccion]</f>
        <v>Bolsa naranja</v>
      </c>
      <c r="E227" s="39" t="s">
        <v>54</v>
      </c>
      <c r="F227" s="41">
        <v>2250.0</v>
      </c>
    </row>
    <row r="228" ht="22.5" customHeight="1">
      <c r="B228" s="42">
        <v>45887.0</v>
      </c>
      <c r="C228" s="38" t="s">
        <v>80</v>
      </c>
      <c r="D228" s="40" t="str">
        <f>Compras[Seleccion]</f>
        <v>Bolsa roja</v>
      </c>
      <c r="E228" s="39" t="s">
        <v>54</v>
      </c>
      <c r="F228" s="41">
        <v>500.0</v>
      </c>
    </row>
    <row r="229" ht="22.5" customHeight="1">
      <c r="B229" s="42">
        <v>45887.0</v>
      </c>
      <c r="C229" s="38" t="s">
        <v>81</v>
      </c>
      <c r="D229" s="40" t="str">
        <f>Compras[Seleccion]</f>
        <v>Bolsa verde</v>
      </c>
      <c r="E229" s="39" t="s">
        <v>54</v>
      </c>
      <c r="F229" s="41">
        <v>500.0</v>
      </c>
    </row>
    <row r="230" ht="22.5" customHeight="1">
      <c r="B230" s="42">
        <v>45887.0</v>
      </c>
      <c r="C230" s="38" t="s">
        <v>91</v>
      </c>
      <c r="D230" s="40" t="str">
        <f>Compras[Seleccion]</f>
        <v>Bolsas algodon FlexiVox</v>
      </c>
      <c r="E230" s="39" t="s">
        <v>54</v>
      </c>
      <c r="F230" s="41">
        <v>2000.0</v>
      </c>
    </row>
    <row r="231" ht="22.5" customHeight="1">
      <c r="B231" s="42">
        <v>45888.0</v>
      </c>
      <c r="C231" s="38" t="s">
        <v>133</v>
      </c>
      <c r="D231" s="40" t="str">
        <f>Compras[Seleccion]</f>
        <v>Gusanos de la harina secos</v>
      </c>
      <c r="E231" s="39" t="s">
        <v>106</v>
      </c>
      <c r="F231" s="41">
        <v>350000.0</v>
      </c>
    </row>
    <row r="232" ht="22.5" customHeight="1">
      <c r="B232" s="42">
        <v>45888.0</v>
      </c>
      <c r="C232" s="38" t="s">
        <v>109</v>
      </c>
      <c r="D232" s="40" t="str">
        <f>Compras[Seleccion]</f>
        <v>Comida Gammarus</v>
      </c>
      <c r="E232" s="39" t="s">
        <v>106</v>
      </c>
      <c r="F232" s="41">
        <v>100000.0</v>
      </c>
    </row>
    <row r="233" ht="22.5" customHeight="1">
      <c r="B233" s="42">
        <v>45888.0</v>
      </c>
      <c r="C233" s="38" t="s">
        <v>94</v>
      </c>
      <c r="D233" s="40" t="str">
        <f>Compras[Seleccion]</f>
        <v>Tapon 3d set FlexiVox (negro)</v>
      </c>
      <c r="E233" s="39" t="s">
        <v>54</v>
      </c>
      <c r="F233" s="41">
        <f>650+1250</f>
        <v>1900</v>
      </c>
    </row>
    <row r="234" ht="22.5" customHeight="1">
      <c r="B234" s="42">
        <v>45888.0</v>
      </c>
      <c r="C234" s="38" t="s">
        <v>99</v>
      </c>
      <c r="D234" s="40" t="str">
        <f>Compras[Seleccion]</f>
        <v>Tapon 3d set FlexiVox (rojo)</v>
      </c>
      <c r="E234" s="39" t="s">
        <v>54</v>
      </c>
      <c r="F234" s="41">
        <v>250.0</v>
      </c>
    </row>
    <row r="235" ht="22.5" customHeight="1">
      <c r="B235" s="42">
        <v>45888.0</v>
      </c>
      <c r="C235" s="38" t="s">
        <v>96</v>
      </c>
      <c r="D235" s="40" t="str">
        <f>Compras[Seleccion]</f>
        <v>Cajas set FlexiVox (transparente)</v>
      </c>
      <c r="E235" s="39" t="s">
        <v>54</v>
      </c>
      <c r="F235" s="41">
        <v>8000.0</v>
      </c>
    </row>
    <row r="236" ht="22.5" customHeight="1">
      <c r="B236" s="42">
        <v>45888.0</v>
      </c>
      <c r="C236" s="38" t="s">
        <v>102</v>
      </c>
      <c r="D236" s="40" t="str">
        <f>Compras[Seleccion]</f>
        <v>Cajas set FlexiVox (negro)</v>
      </c>
      <c r="E236" s="39" t="s">
        <v>54</v>
      </c>
      <c r="F236" s="41">
        <v>2000.0</v>
      </c>
    </row>
    <row r="237" ht="22.5" customHeight="1">
      <c r="B237" s="42">
        <v>45888.0</v>
      </c>
      <c r="C237" s="38" t="s">
        <v>100</v>
      </c>
      <c r="D237" s="40" t="str">
        <f>Compras[Seleccion]</f>
        <v>Cajas set FlexiVox (rojo)</v>
      </c>
      <c r="E237" s="39" t="s">
        <v>54</v>
      </c>
      <c r="F237" s="41">
        <v>2000.0</v>
      </c>
    </row>
    <row r="238" ht="22.5" customHeight="1">
      <c r="B238" s="40" t="s">
        <v>167</v>
      </c>
      <c r="C238" s="38" t="s">
        <v>105</v>
      </c>
      <c r="D238" s="40" t="str">
        <f>Compras[Seleccion]</f>
        <v>Mast 45/7 - 3mm</v>
      </c>
      <c r="E238" s="39" t="s">
        <v>106</v>
      </c>
      <c r="F238" s="41">
        <v>13800.0</v>
      </c>
    </row>
    <row r="239" ht="22.5" customHeight="1">
      <c r="B239" s="40" t="s">
        <v>167</v>
      </c>
      <c r="C239" s="38" t="s">
        <v>129</v>
      </c>
      <c r="D239" s="40" t="str">
        <f>Compras[Seleccion]</f>
        <v>Pegatina Menu grande</v>
      </c>
      <c r="E239" s="39" t="s">
        <v>52</v>
      </c>
      <c r="F239" s="41">
        <v>15.0</v>
      </c>
    </row>
    <row r="240" ht="22.5" customHeight="1">
      <c r="B240" s="40" t="s">
        <v>167</v>
      </c>
      <c r="C240" s="38" t="s">
        <v>55</v>
      </c>
      <c r="D240" s="40" t="str">
        <f>Compras[Seleccion]</f>
        <v>Calcio en pastillas tortugas</v>
      </c>
      <c r="E240" s="39" t="s">
        <v>54</v>
      </c>
      <c r="F240" s="41">
        <v>139.0</v>
      </c>
    </row>
    <row r="241" ht="22.5" customHeight="1">
      <c r="B241" s="42">
        <v>45889.0</v>
      </c>
      <c r="C241" s="38" t="s">
        <v>12</v>
      </c>
      <c r="D241" s="40" t="str">
        <f>Compras[Seleccion]</f>
        <v>Calcio en polvo tortugas</v>
      </c>
      <c r="E241" s="39" t="s">
        <v>106</v>
      </c>
      <c r="F241" s="41">
        <v>100000.0</v>
      </c>
    </row>
    <row r="242" ht="22.5" customHeight="1">
      <c r="B242" s="42">
        <v>45890.0</v>
      </c>
      <c r="C242" s="38" t="s">
        <v>55</v>
      </c>
      <c r="D242" s="40" t="str">
        <f>Compras[Seleccion]</f>
        <v>Calcio en pastillas tortugas</v>
      </c>
      <c r="E242" s="39" t="s">
        <v>54</v>
      </c>
      <c r="F242" s="41">
        <v>9000.0</v>
      </c>
    </row>
    <row r="243" ht="22.5" customHeight="1">
      <c r="B243" s="42">
        <v>45890.0</v>
      </c>
      <c r="C243" s="38" t="s">
        <v>130</v>
      </c>
      <c r="D243" s="40" t="str">
        <f>Compras[Seleccion]</f>
        <v>Tupper rectangular</v>
      </c>
      <c r="E243" s="39" t="s">
        <v>52</v>
      </c>
      <c r="F243" s="41">
        <v>320.0</v>
      </c>
    </row>
    <row r="244" ht="22.5" customHeight="1">
      <c r="B244" s="40" t="s">
        <v>169</v>
      </c>
      <c r="C244" s="38" t="s">
        <v>12</v>
      </c>
      <c r="D244" s="40" t="str">
        <f>Compras[Seleccion]</f>
        <v>Calcio en polvo tortugas</v>
      </c>
      <c r="E244" s="39" t="s">
        <v>106</v>
      </c>
      <c r="F244" s="41">
        <v>3950.0</v>
      </c>
    </row>
    <row r="245" ht="22.5" customHeight="1">
      <c r="B245" s="40" t="s">
        <v>169</v>
      </c>
      <c r="C245" s="38" t="s">
        <v>113</v>
      </c>
      <c r="D245" s="40" t="str">
        <f>Compras[Seleccion]</f>
        <v>Bolsas calcio en polvo</v>
      </c>
      <c r="E245" s="39" t="s">
        <v>54</v>
      </c>
      <c r="F245" s="41">
        <v>10.0</v>
      </c>
    </row>
    <row r="246" ht="22.5" customHeight="1">
      <c r="B246" s="40" t="s">
        <v>167</v>
      </c>
      <c r="C246" s="38" t="s">
        <v>165</v>
      </c>
      <c r="D246" s="40" t="str">
        <f>Compras[Seleccion]</f>
        <v>Pegatina Gusanos de la harina</v>
      </c>
      <c r="E246" s="39" t="s">
        <v>52</v>
      </c>
      <c r="F246" s="41">
        <v>20.0</v>
      </c>
    </row>
    <row r="247" ht="22.5" customHeight="1">
      <c r="B247" s="42">
        <v>45896.0</v>
      </c>
      <c r="C247" s="38" t="s">
        <v>77</v>
      </c>
      <c r="D247" s="40" t="str">
        <f>Compras[Seleccion]</f>
        <v>Peonza tradi (52mm)</v>
      </c>
      <c r="E247" s="39" t="s">
        <v>54</v>
      </c>
      <c r="F247" s="41">
        <f>324*3</f>
        <v>972</v>
      </c>
    </row>
    <row r="248" ht="22.5" customHeight="1">
      <c r="B248" s="42">
        <v>45896.0</v>
      </c>
      <c r="C248" s="38" t="s">
        <v>119</v>
      </c>
      <c r="D248" s="40" t="str">
        <f>Compras[Seleccion]</f>
        <v>Pegatina Pack 126 ceras</v>
      </c>
      <c r="E248" s="39" t="s">
        <v>54</v>
      </c>
      <c r="F248" s="41">
        <v>1000.0</v>
      </c>
    </row>
    <row r="249" ht="22.5" customHeight="1">
      <c r="B249" s="42">
        <v>45896.0</v>
      </c>
      <c r="C249" s="38" t="s">
        <v>122</v>
      </c>
      <c r="D249" s="40" t="str">
        <f>Compras[Seleccion]</f>
        <v>Pegatina Caja 50 pack 4 lapices</v>
      </c>
      <c r="E249" s="39" t="s">
        <v>54</v>
      </c>
      <c r="F249" s="41">
        <v>1000.0</v>
      </c>
    </row>
    <row r="250" ht="22.5" customHeight="1">
      <c r="B250" s="42">
        <v>45896.0</v>
      </c>
      <c r="C250" s="38" t="s">
        <v>125</v>
      </c>
      <c r="D250" s="40" t="str">
        <f>Compras[Seleccion]</f>
        <v>Pegatina Caja 25 pack 6 lapices</v>
      </c>
      <c r="E250" s="39" t="s">
        <v>54</v>
      </c>
      <c r="F250" s="41">
        <v>1000.0</v>
      </c>
    </row>
    <row r="251" ht="22.5" customHeight="1">
      <c r="B251" s="42">
        <v>45896.0</v>
      </c>
      <c r="C251" s="38" t="s">
        <v>129</v>
      </c>
      <c r="D251" s="40" t="str">
        <f>Compras[Seleccion]</f>
        <v>Pegatina Menu grande</v>
      </c>
      <c r="E251" s="39" t="s">
        <v>52</v>
      </c>
      <c r="F251" s="41">
        <v>1000.0</v>
      </c>
    </row>
    <row r="252" ht="22.5" customHeight="1">
      <c r="B252" s="42">
        <v>45896.0</v>
      </c>
      <c r="C252" s="38" t="s">
        <v>165</v>
      </c>
      <c r="D252" s="40" t="str">
        <f>Compras[Seleccion]</f>
        <v>Pegatina Gusanos de la harina</v>
      </c>
      <c r="E252" s="39" t="s">
        <v>52</v>
      </c>
      <c r="F252" s="41">
        <v>1000.0</v>
      </c>
    </row>
    <row r="253" ht="22.5" customHeight="1">
      <c r="B253" s="42">
        <v>45896.0</v>
      </c>
      <c r="C253" s="38" t="s">
        <v>121</v>
      </c>
      <c r="D253" s="40" t="str">
        <f>Compras[Seleccion]</f>
        <v>Lapices Tynie</v>
      </c>
      <c r="E253" s="39" t="s">
        <v>54</v>
      </c>
      <c r="F253" s="41">
        <v>5000.0</v>
      </c>
    </row>
    <row r="254" ht="22.5" customHeight="1">
      <c r="B254" s="42">
        <v>45896.0</v>
      </c>
      <c r="C254" s="38" t="s">
        <v>124</v>
      </c>
      <c r="D254" s="40" t="str">
        <f>Compras[Seleccion]</f>
        <v>Lapices Girls</v>
      </c>
      <c r="E254" s="39" t="s">
        <v>54</v>
      </c>
      <c r="F254" s="41">
        <v>5000.0</v>
      </c>
    </row>
    <row r="255" ht="22.5" customHeight="1">
      <c r="B255" s="42">
        <v>45901.0</v>
      </c>
      <c r="C255" s="38" t="s">
        <v>86</v>
      </c>
      <c r="D255" s="40" t="str">
        <f>Compras[Seleccion]</f>
        <v>Manguera FlexiVox (transparente)</v>
      </c>
      <c r="E255" s="39" t="s">
        <v>54</v>
      </c>
      <c r="F255" s="41">
        <v>1305.0</v>
      </c>
    </row>
    <row r="256" ht="22.5" customHeight="1">
      <c r="B256" s="42">
        <v>45901.0</v>
      </c>
      <c r="C256" s="38" t="s">
        <v>88</v>
      </c>
      <c r="D256" s="40" t="str">
        <f>Compras[Seleccion]</f>
        <v>Manguera FlexiVox (roja)</v>
      </c>
      <c r="E256" s="39" t="s">
        <v>54</v>
      </c>
      <c r="F256" s="41">
        <v>652.0</v>
      </c>
    </row>
    <row r="257" ht="22.5" customHeight="1">
      <c r="B257" s="42">
        <v>45901.0</v>
      </c>
      <c r="C257" s="38" t="s">
        <v>90</v>
      </c>
      <c r="D257" s="40" t="str">
        <f>Compras[Seleccion]</f>
        <v>Manguera FlexiVox (negra)</v>
      </c>
      <c r="E257" s="39" t="s">
        <v>54</v>
      </c>
      <c r="F257" s="41">
        <v>723.0</v>
      </c>
    </row>
    <row r="258" ht="22.5" customHeight="1">
      <c r="B258" s="42">
        <v>45903.0</v>
      </c>
      <c r="C258" s="38" t="s">
        <v>130</v>
      </c>
      <c r="D258" s="40" t="str">
        <f>Compras[Seleccion]</f>
        <v>Tupper rectangular</v>
      </c>
      <c r="E258" s="39" t="s">
        <v>52</v>
      </c>
      <c r="F258" s="41">
        <v>840.0</v>
      </c>
    </row>
    <row r="259" ht="22.5" customHeight="1">
      <c r="B259" s="40" t="s">
        <v>170</v>
      </c>
      <c r="C259" s="38" t="s">
        <v>109</v>
      </c>
      <c r="D259" s="40" t="str">
        <f>Compras[Seleccion]</f>
        <v>Comida Gammarus</v>
      </c>
      <c r="E259" s="39" t="s">
        <v>106</v>
      </c>
      <c r="F259" s="41">
        <v>8300.0</v>
      </c>
    </row>
    <row r="260" ht="22.5" customHeight="1">
      <c r="B260" s="40" t="s">
        <v>167</v>
      </c>
      <c r="C260" s="38" t="s">
        <v>61</v>
      </c>
      <c r="D260" s="40" t="str">
        <f>Compras[Seleccion]</f>
        <v>Torre 125 Blister 2 euro</v>
      </c>
      <c r="E260" s="39" t="s">
        <v>54</v>
      </c>
      <c r="F260" s="41">
        <v>70.0</v>
      </c>
    </row>
    <row r="261" ht="22.5" customHeight="1">
      <c r="B261" s="40" t="s">
        <v>167</v>
      </c>
      <c r="C261" s="38" t="s">
        <v>82</v>
      </c>
      <c r="D261" s="40" t="str">
        <f>Compras[Seleccion]</f>
        <v>Peonza mini (48mm)</v>
      </c>
      <c r="E261" s="39" t="s">
        <v>54</v>
      </c>
      <c r="F261" s="41">
        <v>326.0</v>
      </c>
    </row>
    <row r="262" ht="22.5" customHeight="1">
      <c r="B262" s="42">
        <v>45909.0</v>
      </c>
      <c r="C262" s="38" t="s">
        <v>124</v>
      </c>
      <c r="D262" s="40" t="str">
        <f>Compras[Seleccion]</f>
        <v>Lapices Girls</v>
      </c>
      <c r="E262" s="39" t="s">
        <v>54</v>
      </c>
      <c r="F262" s="41">
        <v>5000.0</v>
      </c>
    </row>
    <row r="263" ht="22.5" customHeight="1">
      <c r="B263" s="42">
        <v>45909.0</v>
      </c>
      <c r="C263" s="38" t="s">
        <v>76</v>
      </c>
      <c r="D263" s="40" t="str">
        <f>Compras[Seleccion]</f>
        <v>Ceras peonzas</v>
      </c>
      <c r="E263" s="39" t="s">
        <v>54</v>
      </c>
      <c r="F263" s="41">
        <v>5000.0</v>
      </c>
    </row>
    <row r="264" ht="22.5" customHeight="1">
      <c r="B264" s="40" t="s">
        <v>171</v>
      </c>
      <c r="C264" s="38" t="s">
        <v>61</v>
      </c>
      <c r="D264" s="40" t="str">
        <f>Compras[Seleccion]</f>
        <v>Torre 125 Blister 2 euro</v>
      </c>
      <c r="E264" s="39" t="s">
        <v>54</v>
      </c>
      <c r="F264" s="41">
        <v>-480.0</v>
      </c>
    </row>
    <row r="265" ht="22.5" customHeight="1">
      <c r="B265" s="40" t="s">
        <v>171</v>
      </c>
      <c r="C265" s="38" t="s">
        <v>50</v>
      </c>
      <c r="D265" s="40" t="str">
        <f>Compras[Seleccion]</f>
        <v>Tarjetas valoraciones</v>
      </c>
      <c r="E265" s="39" t="s">
        <v>54</v>
      </c>
      <c r="F265" s="41">
        <v>-480.0</v>
      </c>
    </row>
    <row r="266" ht="22.5" customHeight="1">
      <c r="B266" s="40" t="s">
        <v>171</v>
      </c>
      <c r="C266" s="38" t="s">
        <v>58</v>
      </c>
      <c r="D266" s="40" t="str">
        <f>Compras[Seleccion]</f>
        <v>Bolsas Blister</v>
      </c>
      <c r="E266" s="39" t="s">
        <v>54</v>
      </c>
      <c r="F266" s="41">
        <v>-480.0</v>
      </c>
    </row>
    <row r="267" ht="22.5" customHeight="1">
      <c r="B267" s="40" t="s">
        <v>171</v>
      </c>
      <c r="C267" s="38" t="s">
        <v>60</v>
      </c>
      <c r="D267" s="40" t="str">
        <f>Compras[Seleccion]</f>
        <v>Flyer Blister 2 euro</v>
      </c>
      <c r="E267" s="39" t="s">
        <v>54</v>
      </c>
      <c r="F267" s="41">
        <v>-96.0</v>
      </c>
    </row>
    <row r="268" ht="22.5" customHeight="1">
      <c r="B268" s="40" t="s">
        <v>171</v>
      </c>
      <c r="C268" s="38" t="s">
        <v>61</v>
      </c>
      <c r="D268" s="40" t="str">
        <f>Compras[Seleccion]</f>
        <v>Torre 125 Blister 2 euro</v>
      </c>
      <c r="E268" s="39" t="s">
        <v>54</v>
      </c>
      <c r="F268" s="41">
        <v>-96.0</v>
      </c>
    </row>
    <row r="269" ht="22.5" customHeight="1">
      <c r="B269" s="40" t="s">
        <v>171</v>
      </c>
      <c r="C269" s="38" t="s">
        <v>63</v>
      </c>
      <c r="D269" s="40" t="str">
        <f>Compras[Seleccion]</f>
        <v>Torre 125 Blister 1 euro</v>
      </c>
      <c r="E269" s="39" t="s">
        <v>54</v>
      </c>
      <c r="F269" s="41">
        <v>-96.0</v>
      </c>
    </row>
    <row r="270" ht="22.5" customHeight="1">
      <c r="B270" s="40" t="s">
        <v>171</v>
      </c>
      <c r="C270" s="38" t="s">
        <v>50</v>
      </c>
      <c r="D270" s="40" t="str">
        <f>Compras[Seleccion]</f>
        <v>Tarjetas valoraciones</v>
      </c>
      <c r="E270" s="39" t="s">
        <v>54</v>
      </c>
      <c r="F270" s="41">
        <v>-96.0</v>
      </c>
    </row>
    <row r="271" ht="22.5" customHeight="1">
      <c r="B271" s="40" t="s">
        <v>171</v>
      </c>
      <c r="C271" s="38" t="s">
        <v>58</v>
      </c>
      <c r="D271" s="40" t="str">
        <f>Compras[Seleccion]</f>
        <v>Bolsas Blister</v>
      </c>
      <c r="E271" s="39" t="s">
        <v>54</v>
      </c>
      <c r="F271" s="41">
        <v>-96.0</v>
      </c>
    </row>
    <row r="272" ht="22.5" customHeight="1">
      <c r="B272" s="40" t="s">
        <v>171</v>
      </c>
      <c r="C272" s="38" t="s">
        <v>62</v>
      </c>
      <c r="D272" s="40" t="str">
        <f>Compras[Seleccion]</f>
        <v>Flyer Blister 1 euro</v>
      </c>
      <c r="E272" s="39" t="s">
        <v>54</v>
      </c>
      <c r="F272" s="41">
        <v>-96.0</v>
      </c>
    </row>
    <row r="273" ht="22.5" customHeight="1">
      <c r="B273" s="40" t="s">
        <v>171</v>
      </c>
      <c r="C273" s="38" t="s">
        <v>53</v>
      </c>
      <c r="D273" s="40" t="str">
        <f>Compras[Seleccion]</f>
        <v>Packaging calcio 4</v>
      </c>
      <c r="E273" s="39" t="s">
        <v>54</v>
      </c>
      <c r="F273" s="41">
        <v>-5130.0</v>
      </c>
    </row>
    <row r="274" ht="22.5" customHeight="1">
      <c r="B274" s="40" t="s">
        <v>171</v>
      </c>
      <c r="C274" s="38" t="s">
        <v>56</v>
      </c>
      <c r="D274" s="40" t="str">
        <f>Compras[Seleccion]</f>
        <v>Packaging calcio 8</v>
      </c>
      <c r="E274" s="39" t="s">
        <v>54</v>
      </c>
      <c r="F274" s="41">
        <v>-1400.0</v>
      </c>
    </row>
    <row r="275" ht="22.5" customHeight="1">
      <c r="B275" s="40" t="s">
        <v>171</v>
      </c>
      <c r="C275" s="38" t="s">
        <v>57</v>
      </c>
      <c r="D275" s="40" t="str">
        <f>Compras[Seleccion]</f>
        <v>Packaging calcio 15</v>
      </c>
      <c r="E275" s="39" t="s">
        <v>54</v>
      </c>
      <c r="F275" s="41">
        <v>-1020.0</v>
      </c>
    </row>
    <row r="276" ht="22.5" customHeight="1">
      <c r="B276" s="40" t="s">
        <v>171</v>
      </c>
      <c r="C276" s="38" t="s">
        <v>50</v>
      </c>
      <c r="D276" s="40" t="str">
        <f>Compras[Seleccion]</f>
        <v>Tarjetas valoraciones</v>
      </c>
      <c r="E276" s="39" t="s">
        <v>54</v>
      </c>
      <c r="F276" s="41">
        <v>-7550.0</v>
      </c>
    </row>
    <row r="277" ht="22.5" customHeight="1">
      <c r="B277" s="40" t="s">
        <v>167</v>
      </c>
      <c r="C277" s="38" t="s">
        <v>92</v>
      </c>
      <c r="D277" s="40" t="str">
        <f>Compras[Seleccion]</f>
        <v>Cepillos set FlexiVox</v>
      </c>
      <c r="E277" s="39" t="s">
        <v>54</v>
      </c>
      <c r="F277" s="41">
        <v>894.0</v>
      </c>
    </row>
    <row r="278" ht="22.5" customHeight="1">
      <c r="B278" s="40" t="s">
        <v>167</v>
      </c>
      <c r="C278" s="38" t="s">
        <v>127</v>
      </c>
      <c r="D278" s="40" t="str">
        <f>Compras[Seleccion]</f>
        <v>Vaso medidor 50ml</v>
      </c>
      <c r="E278" s="39" t="s">
        <v>54</v>
      </c>
      <c r="F278" s="41">
        <v>1638.0</v>
      </c>
    </row>
    <row r="279" ht="22.5" customHeight="1">
      <c r="B279" s="40" t="s">
        <v>167</v>
      </c>
      <c r="C279" s="38" t="s">
        <v>104</v>
      </c>
      <c r="D279" s="40" t="str">
        <f>Compras[Seleccion]</f>
        <v>Vaso medidor 10ml</v>
      </c>
      <c r="E279" s="39" t="s">
        <v>54</v>
      </c>
      <c r="F279" s="41">
        <v>-1638.0</v>
      </c>
    </row>
    <row r="280" ht="22.5" customHeight="1">
      <c r="B280" s="42">
        <v>45909.0</v>
      </c>
      <c r="C280" s="38" t="s">
        <v>127</v>
      </c>
      <c r="D280" s="40" t="str">
        <f>Compras[Seleccion]</f>
        <v>Vaso medidor 50ml</v>
      </c>
      <c r="E280" s="39" t="s">
        <v>54</v>
      </c>
      <c r="F280" s="41">
        <v>1000.0</v>
      </c>
    </row>
    <row r="281" ht="22.5" customHeight="1">
      <c r="B281" s="40" t="s">
        <v>167</v>
      </c>
      <c r="C281" s="38" t="s">
        <v>172</v>
      </c>
      <c r="D281" s="40" t="str">
        <f>Compras[Seleccion]</f>
        <v>Pegatina gammarus grande</v>
      </c>
      <c r="E281" s="39" t="s">
        <v>52</v>
      </c>
      <c r="F281" s="41">
        <v>164.0</v>
      </c>
    </row>
    <row r="282" ht="22.5" customHeight="1">
      <c r="B282" s="42">
        <v>45922.0</v>
      </c>
      <c r="C282" s="38" t="s">
        <v>172</v>
      </c>
      <c r="D282" s="40" t="str">
        <f>Compras[Seleccion]</f>
        <v>Pegatina gammarus grande</v>
      </c>
      <c r="E282" s="39" t="s">
        <v>52</v>
      </c>
      <c r="F282" s="41">
        <v>1000.0</v>
      </c>
    </row>
    <row r="283" ht="22.5" customHeight="1">
      <c r="B283" s="42">
        <v>45922.0</v>
      </c>
      <c r="C283" s="38" t="s">
        <v>50</v>
      </c>
      <c r="D283" s="40" t="str">
        <f>Compras[Seleccion]</f>
        <v>Tarjetas valoraciones</v>
      </c>
      <c r="E283" s="39" t="s">
        <v>54</v>
      </c>
      <c r="F283" s="41">
        <v>10000.0</v>
      </c>
    </row>
    <row r="284" ht="22.5" customHeight="1">
      <c r="B284" s="42">
        <v>45922.0</v>
      </c>
      <c r="C284" s="38" t="s">
        <v>62</v>
      </c>
      <c r="D284" s="40" t="str">
        <f>Compras[Seleccion]</f>
        <v>Flyer Blister 1 euro</v>
      </c>
      <c r="E284" s="39" t="s">
        <v>54</v>
      </c>
      <c r="F284" s="41">
        <v>2500.0</v>
      </c>
    </row>
    <row r="285" ht="22.5" customHeight="1">
      <c r="B285" s="42">
        <v>45922.0</v>
      </c>
      <c r="C285" s="38" t="s">
        <v>60</v>
      </c>
      <c r="D285" s="40" t="str">
        <f>Compras[Seleccion]</f>
        <v>Flyer Blister 2 euro</v>
      </c>
      <c r="E285" s="39" t="s">
        <v>54</v>
      </c>
      <c r="F285" s="41">
        <v>2500.0</v>
      </c>
    </row>
    <row r="286" ht="22.5" customHeight="1">
      <c r="B286" s="40" t="s">
        <v>161</v>
      </c>
      <c r="C286" s="38" t="s">
        <v>109</v>
      </c>
      <c r="D286" s="40" t="str">
        <f>Compras[Seleccion]</f>
        <v>Comida Gammarus</v>
      </c>
      <c r="E286" s="39" t="s">
        <v>106</v>
      </c>
      <c r="F286" s="41">
        <v>-24600.0</v>
      </c>
    </row>
    <row r="287" ht="22.5" customHeight="1">
      <c r="B287" s="40" t="s">
        <v>161</v>
      </c>
      <c r="C287" s="38" t="s">
        <v>149</v>
      </c>
      <c r="D287" s="40" t="str">
        <f>Compras[Seleccion]</f>
        <v>Shrimps</v>
      </c>
      <c r="E287" s="39" t="s">
        <v>106</v>
      </c>
      <c r="F287" s="41">
        <v>24600.0</v>
      </c>
    </row>
    <row r="288" ht="22.5" customHeight="1">
      <c r="B288" s="42">
        <v>45924.0</v>
      </c>
      <c r="C288" s="38" t="s">
        <v>109</v>
      </c>
      <c r="D288" s="40" t="str">
        <f>Compras[Seleccion]</f>
        <v>Comida Gammarus</v>
      </c>
      <c r="E288" s="39" t="s">
        <v>106</v>
      </c>
      <c r="F288" s="41">
        <v>240000.0</v>
      </c>
    </row>
    <row r="289" ht="22.5" customHeight="1">
      <c r="B289" s="42">
        <v>45924.0</v>
      </c>
      <c r="C289" s="38" t="s">
        <v>149</v>
      </c>
      <c r="D289" s="40" t="str">
        <f>Compras[Seleccion]</f>
        <v>Shrimps</v>
      </c>
      <c r="E289" s="39" t="s">
        <v>106</v>
      </c>
      <c r="F289" s="41">
        <v>384000.0</v>
      </c>
    </row>
    <row r="290" ht="22.5" customHeight="1">
      <c r="B290" s="42">
        <v>45924.0</v>
      </c>
      <c r="C290" s="38" t="s">
        <v>133</v>
      </c>
      <c r="D290" s="40" t="str">
        <f>Compras[Seleccion]</f>
        <v>Gusanos de la harina secos</v>
      </c>
      <c r="E290" s="39" t="s">
        <v>106</v>
      </c>
      <c r="F290" s="41">
        <f>375000+10000</f>
        <v>385000</v>
      </c>
    </row>
    <row r="291" ht="22.5" customHeight="1">
      <c r="B291" s="42">
        <v>45926.0</v>
      </c>
      <c r="C291" s="38" t="s">
        <v>105</v>
      </c>
      <c r="D291" s="40" t="str">
        <f>Compras[Seleccion]</f>
        <v>Mast 45/7 - 3mm</v>
      </c>
      <c r="E291" s="39" t="s">
        <v>106</v>
      </c>
      <c r="F291" s="41">
        <v>1000000.0</v>
      </c>
    </row>
    <row r="292" ht="22.5" customHeight="1">
      <c r="B292" s="42">
        <v>45929.0</v>
      </c>
      <c r="C292" s="38" t="s">
        <v>130</v>
      </c>
      <c r="D292" s="40" t="str">
        <f>Compras[Seleccion]</f>
        <v>Tupper rectangular</v>
      </c>
      <c r="E292" s="39" t="s">
        <v>52</v>
      </c>
      <c r="F292" s="41">
        <v>840.0</v>
      </c>
    </row>
    <row r="293" ht="22.5" customHeight="1">
      <c r="B293" s="42">
        <v>45930.0</v>
      </c>
      <c r="C293" s="38" t="s">
        <v>92</v>
      </c>
      <c r="D293" s="40" t="str">
        <f>Compras[Seleccion]</f>
        <v>Cepillos set FlexiVox</v>
      </c>
      <c r="E293" s="39" t="s">
        <v>54</v>
      </c>
      <c r="F293" s="41">
        <v>10000.0</v>
      </c>
    </row>
    <row r="294" ht="22.5" customHeight="1">
      <c r="B294" s="42">
        <v>45931.0</v>
      </c>
      <c r="C294" s="38" t="s">
        <v>86</v>
      </c>
      <c r="D294" s="40" t="str">
        <f>Compras[Seleccion]</f>
        <v>Manguera FlexiVox (transparente)</v>
      </c>
      <c r="E294" s="39" t="s">
        <v>54</v>
      </c>
      <c r="F294" s="41">
        <v>3150.0</v>
      </c>
    </row>
    <row r="295" ht="22.5" customHeight="1">
      <c r="B295" s="40" t="s">
        <v>173</v>
      </c>
      <c r="C295" s="38" t="s">
        <v>104</v>
      </c>
      <c r="D295" s="40" t="str">
        <f>Compras[Seleccion]</f>
        <v>Vaso medidor 10ml</v>
      </c>
      <c r="E295" s="39" t="s">
        <v>54</v>
      </c>
      <c r="F295" s="41">
        <v>-158.0</v>
      </c>
    </row>
    <row r="296" ht="22.5" customHeight="1">
      <c r="B296" s="40" t="s">
        <v>173</v>
      </c>
      <c r="C296" s="38" t="s">
        <v>104</v>
      </c>
      <c r="D296" s="40" t="str">
        <f>Compras[Seleccion]</f>
        <v>Vaso medidor 10ml</v>
      </c>
      <c r="E296" s="39" t="s">
        <v>54</v>
      </c>
      <c r="F296" s="41">
        <v>158.0</v>
      </c>
    </row>
    <row r="297" ht="22.5" customHeight="1">
      <c r="B297" s="42">
        <v>45933.0</v>
      </c>
      <c r="C297" s="38" t="s">
        <v>104</v>
      </c>
      <c r="D297" s="40" t="str">
        <f>Compras[Seleccion]</f>
        <v>Vaso medidor 10ml</v>
      </c>
      <c r="E297" s="39" t="s">
        <v>54</v>
      </c>
      <c r="F297" s="41">
        <v>900.0</v>
      </c>
    </row>
    <row r="298" ht="22.5" customHeight="1">
      <c r="B298" s="40" t="s">
        <v>174</v>
      </c>
      <c r="C298" s="38" t="s">
        <v>133</v>
      </c>
      <c r="D298" s="40" t="str">
        <f>Compras[Seleccion]</f>
        <v>Gusanos de la harina secos</v>
      </c>
      <c r="E298" s="39" t="s">
        <v>106</v>
      </c>
      <c r="F298" s="41">
        <v>-10000.0</v>
      </c>
    </row>
    <row r="299" ht="22.5" customHeight="1">
      <c r="B299" s="40" t="s">
        <v>175</v>
      </c>
      <c r="C299" s="38" t="s">
        <v>58</v>
      </c>
      <c r="D299" s="40" t="str">
        <f>Compras[Seleccion]</f>
        <v>Bolsas Blister</v>
      </c>
      <c r="E299" s="39" t="s">
        <v>54</v>
      </c>
      <c r="F299" s="41">
        <v>-5200.0</v>
      </c>
    </row>
    <row r="300" ht="22.5" customHeight="1">
      <c r="B300" s="40" t="s">
        <v>175</v>
      </c>
      <c r="C300" s="38" t="s">
        <v>50</v>
      </c>
      <c r="D300" s="40" t="str">
        <f>Compras[Seleccion]</f>
        <v>Tarjetas valoraciones</v>
      </c>
      <c r="E300" s="39" t="s">
        <v>54</v>
      </c>
      <c r="F300" s="41">
        <v>-5200.0</v>
      </c>
    </row>
    <row r="301" ht="22.5" customHeight="1">
      <c r="B301" s="40" t="s">
        <v>175</v>
      </c>
      <c r="C301" s="38" t="s">
        <v>62</v>
      </c>
      <c r="D301" s="40" t="str">
        <f>Compras[Seleccion]</f>
        <v>Flyer Blister 1 euro</v>
      </c>
      <c r="E301" s="39" t="s">
        <v>54</v>
      </c>
      <c r="F301" s="41">
        <v>-4100.0</v>
      </c>
    </row>
    <row r="302" ht="22.5" customHeight="1">
      <c r="B302" s="40" t="s">
        <v>175</v>
      </c>
      <c r="C302" s="38" t="s">
        <v>60</v>
      </c>
      <c r="D302" s="40" t="str">
        <f>Compras[Seleccion]</f>
        <v>Flyer Blister 2 euro</v>
      </c>
      <c r="E302" s="39" t="s">
        <v>54</v>
      </c>
      <c r="F302" s="41">
        <v>-1100.0</v>
      </c>
    </row>
    <row r="303" ht="22.5" customHeight="1">
      <c r="B303" s="42">
        <v>45945.0</v>
      </c>
      <c r="C303" s="38" t="s">
        <v>130</v>
      </c>
      <c r="D303" s="40" t="str">
        <f>Compras[Seleccion]</f>
        <v>Tupper rectangular</v>
      </c>
      <c r="E303" s="39" t="s">
        <v>52</v>
      </c>
      <c r="F303" s="41">
        <v>840.0</v>
      </c>
    </row>
    <row r="304" ht="22.5" customHeight="1">
      <c r="B304" s="42">
        <v>45960.0</v>
      </c>
      <c r="C304" s="38" t="s">
        <v>12</v>
      </c>
      <c r="D304" s="40" t="str">
        <f>Compras[Seleccion]</f>
        <v>Calcio en polvo tortugas</v>
      </c>
      <c r="E304" s="39" t="s">
        <v>106</v>
      </c>
      <c r="F304" s="41">
        <v>350000.0</v>
      </c>
    </row>
    <row r="305" ht="22.5" customHeight="1">
      <c r="B305" s="42">
        <v>45960.0</v>
      </c>
      <c r="C305" s="38" t="s">
        <v>127</v>
      </c>
      <c r="D305" s="40" t="str">
        <f>Compras[Seleccion]</f>
        <v>Vaso medidor 50ml</v>
      </c>
      <c r="E305" s="39" t="s">
        <v>54</v>
      </c>
      <c r="F305" s="41">
        <v>200.0</v>
      </c>
    </row>
    <row r="306" ht="22.5" customHeight="1">
      <c r="B306" s="40" t="s">
        <v>176</v>
      </c>
      <c r="C306" s="38" t="s">
        <v>91</v>
      </c>
      <c r="D306" s="40" t="str">
        <f>Compras[Seleccion]</f>
        <v>Bolsas algodon FlexiVox</v>
      </c>
      <c r="E306" s="39" t="s">
        <v>54</v>
      </c>
      <c r="F306" s="41">
        <v>-100.0</v>
      </c>
      <c r="I306" s="3" t="s">
        <v>176</v>
      </c>
      <c r="J306" s="3" t="s">
        <v>177</v>
      </c>
    </row>
    <row r="307" ht="22.5" customHeight="1">
      <c r="B307" s="40" t="s">
        <v>178</v>
      </c>
      <c r="C307" s="38" t="s">
        <v>154</v>
      </c>
      <c r="D307" s="40" t="str">
        <f>Compras[Seleccion]</f>
        <v>Botellas set FlexiVox</v>
      </c>
      <c r="E307" s="39" t="s">
        <v>52</v>
      </c>
      <c r="F307" s="41">
        <v>28.0</v>
      </c>
      <c r="I307" s="3" t="s">
        <v>178</v>
      </c>
    </row>
    <row r="308" ht="22.5" customHeight="1">
      <c r="B308" s="40" t="s">
        <v>178</v>
      </c>
      <c r="C308" s="38" t="s">
        <v>88</v>
      </c>
      <c r="D308" s="40" t="str">
        <f>Compras[Seleccion]</f>
        <v>Manguera FlexiVox (roja)</v>
      </c>
      <c r="E308" s="39" t="s">
        <v>54</v>
      </c>
      <c r="F308" s="41">
        <v>40.0</v>
      </c>
      <c r="I308" s="3" t="s">
        <v>179</v>
      </c>
      <c r="J308" s="3" t="s">
        <v>180</v>
      </c>
    </row>
    <row r="309" ht="22.5" customHeight="1">
      <c r="B309" s="42">
        <v>45965.0</v>
      </c>
      <c r="C309" s="38" t="s">
        <v>94</v>
      </c>
      <c r="D309" s="40" t="str">
        <f>Compras[Seleccion]</f>
        <v>Tapon 3d set FlexiVox (negro)</v>
      </c>
      <c r="E309" s="39" t="s">
        <v>54</v>
      </c>
      <c r="F309" s="41">
        <v>1015.0</v>
      </c>
    </row>
    <row r="310" ht="22.5" customHeight="1">
      <c r="B310" s="40" t="s">
        <v>161</v>
      </c>
      <c r="C310" s="38" t="s">
        <v>105</v>
      </c>
      <c r="D310" s="40" t="str">
        <f>Compras[Seleccion]</f>
        <v>Mast 45/7 - 3mm</v>
      </c>
      <c r="E310" s="39" t="s">
        <v>106</v>
      </c>
      <c r="F310" s="41">
        <v>2500.0</v>
      </c>
    </row>
    <row r="311" ht="22.5" customHeight="1">
      <c r="B311" s="40" t="s">
        <v>178</v>
      </c>
      <c r="C311" s="38" t="s">
        <v>104</v>
      </c>
      <c r="D311" s="40" t="str">
        <f>Compras[Seleccion]</f>
        <v>Vaso medidor 10ml</v>
      </c>
      <c r="E311" s="39" t="s">
        <v>54</v>
      </c>
      <c r="F311" s="41">
        <v>50.0</v>
      </c>
    </row>
    <row r="312" ht="22.5" customHeight="1">
      <c r="B312" s="40" t="s">
        <v>179</v>
      </c>
      <c r="C312" s="38" t="s">
        <v>165</v>
      </c>
      <c r="D312" s="40" t="str">
        <f>Compras[Seleccion]</f>
        <v>Pegatina Gusanos de la harina</v>
      </c>
      <c r="E312" s="39" t="s">
        <v>52</v>
      </c>
      <c r="F312" s="41">
        <v>-23.0</v>
      </c>
    </row>
    <row r="313" ht="22.5" customHeight="1">
      <c r="B313" s="42">
        <v>45967.0</v>
      </c>
      <c r="C313" s="38" t="s">
        <v>77</v>
      </c>
      <c r="D313" s="40" t="str">
        <f>Compras[Seleccion]</f>
        <v>Peonza tradi (52mm)</v>
      </c>
      <c r="E313" s="39" t="s">
        <v>54</v>
      </c>
      <c r="F313" s="41">
        <v>972.0</v>
      </c>
    </row>
    <row r="314" ht="22.5" customHeight="1">
      <c r="B314" s="42">
        <v>45969.0</v>
      </c>
      <c r="C314" s="38" t="s">
        <v>112</v>
      </c>
      <c r="D314" s="40" t="str">
        <f>Compras[Seleccion]</f>
        <v>Vaso medidor calcio en polvo</v>
      </c>
      <c r="E314" s="39" t="s">
        <v>54</v>
      </c>
      <c r="F314" s="41">
        <v>2000.0</v>
      </c>
    </row>
    <row r="315" ht="22.5" customHeight="1">
      <c r="B315" s="42">
        <v>45980.0</v>
      </c>
      <c r="C315" s="38" t="s">
        <v>77</v>
      </c>
      <c r="D315" s="40" t="str">
        <f>Compras[Seleccion]</f>
        <v>Peonza tradi (52mm)</v>
      </c>
      <c r="E315" s="39" t="s">
        <v>54</v>
      </c>
      <c r="F315" s="41">
        <f>324*3</f>
        <v>972</v>
      </c>
    </row>
    <row r="316" ht="22.5" customHeight="1">
      <c r="B316" s="42">
        <v>45980.0</v>
      </c>
      <c r="C316" s="38" t="s">
        <v>76</v>
      </c>
      <c r="D316" s="40" t="str">
        <f>Compras[Seleccion]</f>
        <v>Ceras peonzas</v>
      </c>
      <c r="E316" s="39" t="s">
        <v>54</v>
      </c>
      <c r="F316" s="41">
        <v>5000.0</v>
      </c>
    </row>
    <row r="317" ht="22.5" customHeight="1">
      <c r="B317" s="42">
        <v>45989.0</v>
      </c>
      <c r="C317" s="38" t="s">
        <v>91</v>
      </c>
      <c r="D317" s="40" t="str">
        <f>Compras[Seleccion]</f>
        <v>Bolsas algodon FlexiVox</v>
      </c>
      <c r="E317" s="39" t="s">
        <v>54</v>
      </c>
      <c r="F317" s="41">
        <v>1000.0</v>
      </c>
    </row>
    <row r="318" ht="22.5" customHeight="1">
      <c r="B318" s="42">
        <v>45988.0</v>
      </c>
      <c r="C318" s="38" t="s">
        <v>94</v>
      </c>
      <c r="D318" s="40" t="str">
        <f>Compras[Seleccion]</f>
        <v>Tapon 3d set FlexiVox (negro)</v>
      </c>
      <c r="E318" s="39" t="s">
        <v>54</v>
      </c>
      <c r="F318" s="41"/>
    </row>
    <row r="319" ht="22.5" customHeight="1">
      <c r="B319" s="42">
        <v>45988.0</v>
      </c>
      <c r="C319" s="38" t="s">
        <v>99</v>
      </c>
      <c r="D319" s="40" t="str">
        <f>Compras[Seleccion]</f>
        <v>Tapon 3d set FlexiVox (rojo)</v>
      </c>
      <c r="E319" s="39" t="s">
        <v>54</v>
      </c>
      <c r="F319" s="41"/>
    </row>
    <row r="320" ht="22.5" customHeight="1">
      <c r="B320" s="42">
        <v>45992.0</v>
      </c>
      <c r="C320" s="38" t="s">
        <v>154</v>
      </c>
      <c r="D320" s="40" t="str">
        <f>Compras[Seleccion]</f>
        <v>Botellas set FlexiVox</v>
      </c>
      <c r="E320" s="39" t="s">
        <v>52</v>
      </c>
      <c r="F320" s="41">
        <v>1196.0</v>
      </c>
    </row>
    <row r="321" ht="22.5" customHeight="1">
      <c r="B321" s="42">
        <v>45993.0</v>
      </c>
      <c r="C321" s="38" t="s">
        <v>88</v>
      </c>
      <c r="D321" s="40" t="str">
        <f>Compras[Seleccion]</f>
        <v>Manguera FlexiVox (roja)</v>
      </c>
      <c r="E321" s="39" t="s">
        <v>54</v>
      </c>
      <c r="F321" s="41">
        <v>750.0</v>
      </c>
    </row>
    <row r="322" ht="22.5" customHeight="1">
      <c r="B322" s="42">
        <v>45993.0</v>
      </c>
      <c r="C322" s="38" t="s">
        <v>90</v>
      </c>
      <c r="D322" s="40" t="str">
        <f>Compras[Seleccion]</f>
        <v>Manguera FlexiVox (negra)</v>
      </c>
      <c r="E322" s="39" t="s">
        <v>54</v>
      </c>
      <c r="F322" s="41">
        <v>750.0</v>
      </c>
    </row>
    <row r="323" ht="22.5" customHeight="1">
      <c r="B323" s="40" t="s">
        <v>181</v>
      </c>
      <c r="C323" s="38" t="s">
        <v>50</v>
      </c>
      <c r="D323" s="40" t="str">
        <f>Compras[Seleccion]</f>
        <v>Tarjetas valoraciones</v>
      </c>
      <c r="E323" s="39" t="s">
        <v>54</v>
      </c>
      <c r="F323" s="41">
        <v>-1000.0</v>
      </c>
    </row>
    <row r="324" ht="22.5" customHeight="1">
      <c r="B324" s="42">
        <v>46001.0</v>
      </c>
      <c r="C324" s="38" t="s">
        <v>76</v>
      </c>
      <c r="D324" s="40" t="str">
        <f>Compras[Seleccion]</f>
        <v>Ceras peonzas</v>
      </c>
      <c r="E324" s="39" t="s">
        <v>54</v>
      </c>
      <c r="F324" s="41">
        <v>5000.0</v>
      </c>
    </row>
    <row r="325" ht="22.5" customHeight="1">
      <c r="B325" s="42">
        <v>46001.0</v>
      </c>
      <c r="C325" s="38" t="s">
        <v>121</v>
      </c>
      <c r="D325" s="40" t="str">
        <f>Compras[Seleccion]</f>
        <v>Lapices Tynie</v>
      </c>
      <c r="E325" s="39" t="s">
        <v>54</v>
      </c>
      <c r="F325" s="41">
        <v>5000.0</v>
      </c>
    </row>
    <row r="326" ht="22.5" customHeight="1">
      <c r="B326" s="42">
        <v>46001.0</v>
      </c>
      <c r="C326" s="38" t="s">
        <v>124</v>
      </c>
      <c r="D326" s="40" t="str">
        <f>Compras[Seleccion]</f>
        <v>Lapices Girls</v>
      </c>
      <c r="E326" s="39" t="s">
        <v>54</v>
      </c>
      <c r="F326" s="41">
        <v>5000.0</v>
      </c>
    </row>
    <row r="327" ht="22.5" customHeight="1">
      <c r="B327" s="42">
        <v>46001.0</v>
      </c>
      <c r="C327" s="38" t="s">
        <v>91</v>
      </c>
      <c r="D327" s="40" t="str">
        <f>Compras[Seleccion]</f>
        <v>Bolsas algodon FlexiVox</v>
      </c>
      <c r="E327" s="39" t="s">
        <v>54</v>
      </c>
      <c r="F327" s="41">
        <v>500.0</v>
      </c>
    </row>
    <row r="328" ht="22.5" customHeight="1">
      <c r="B328" s="42">
        <v>46004.0</v>
      </c>
      <c r="C328" s="38" t="s">
        <v>78</v>
      </c>
      <c r="D328" s="40" t="str">
        <f>Compras[Seleccion]</f>
        <v>Arandela</v>
      </c>
      <c r="E328" s="39" t="s">
        <v>54</v>
      </c>
      <c r="F328" s="41">
        <v>10000.0</v>
      </c>
    </row>
    <row r="329" ht="22.5" customHeight="1">
      <c r="B329" s="42">
        <v>46004.0</v>
      </c>
      <c r="C329" s="38" t="s">
        <v>91</v>
      </c>
      <c r="D329" s="40" t="str">
        <f>Compras[Seleccion]</f>
        <v>Bolsas algodon FlexiVox</v>
      </c>
      <c r="E329" s="39" t="s">
        <v>54</v>
      </c>
      <c r="F329" s="41">
        <v>5000.0</v>
      </c>
    </row>
    <row r="330" ht="22.5" customHeight="1">
      <c r="B330" s="40" t="s">
        <v>182</v>
      </c>
      <c r="C330" s="38" t="s">
        <v>78</v>
      </c>
      <c r="D330" s="40" t="str">
        <f>Compras[Seleccion]</f>
        <v>Arandela</v>
      </c>
      <c r="E330" s="39" t="s">
        <v>54</v>
      </c>
      <c r="F330" s="41">
        <v>-10000.0</v>
      </c>
    </row>
    <row r="331" ht="22.5" customHeight="1">
      <c r="B331" s="40" t="s">
        <v>182</v>
      </c>
      <c r="C331" s="38" t="s">
        <v>76</v>
      </c>
      <c r="D331" s="40" t="str">
        <f>Compras[Seleccion]</f>
        <v>Ceras peonzas</v>
      </c>
      <c r="E331" s="39" t="s">
        <v>54</v>
      </c>
      <c r="F331" s="41">
        <v>-1100.0</v>
      </c>
    </row>
    <row r="332" ht="22.5" customHeight="1">
      <c r="B332" s="40" t="s">
        <v>182</v>
      </c>
      <c r="C332" s="38" t="s">
        <v>79</v>
      </c>
      <c r="D332" s="40" t="str">
        <f>Compras[Seleccion]</f>
        <v>Bolsas peonzas</v>
      </c>
      <c r="E332" s="39" t="s">
        <v>54</v>
      </c>
      <c r="F332" s="41">
        <v>-960.0</v>
      </c>
    </row>
    <row r="333" ht="22.5" customHeight="1">
      <c r="B333" s="40" t="s">
        <v>182</v>
      </c>
      <c r="C333" s="38" t="s">
        <v>50</v>
      </c>
      <c r="D333" s="40" t="str">
        <f>Compras[Seleccion]</f>
        <v>Tarjetas valoraciones</v>
      </c>
      <c r="E333" s="39" t="s">
        <v>54</v>
      </c>
      <c r="F333" s="41">
        <v>-1100.0</v>
      </c>
    </row>
    <row r="334" ht="22.5" customHeight="1">
      <c r="B334" s="40" t="s">
        <v>183</v>
      </c>
      <c r="C334" s="38" t="s">
        <v>79</v>
      </c>
      <c r="D334" s="40" t="str">
        <f>Compras[Seleccion]</f>
        <v>Bolsas peonzas</v>
      </c>
      <c r="E334" s="39" t="s">
        <v>54</v>
      </c>
      <c r="F334" s="41">
        <v>-2400.0</v>
      </c>
    </row>
    <row r="335" ht="22.5" customHeight="1">
      <c r="B335" s="40" t="s">
        <v>183</v>
      </c>
      <c r="C335" s="38" t="s">
        <v>76</v>
      </c>
      <c r="D335" s="40" t="str">
        <f>Compras[Seleccion]</f>
        <v>Ceras peonzas</v>
      </c>
      <c r="E335" s="39" t="s">
        <v>54</v>
      </c>
      <c r="F335" s="41">
        <v>-2000.0</v>
      </c>
    </row>
    <row r="336" ht="22.5" customHeight="1">
      <c r="B336" s="40" t="s">
        <v>183</v>
      </c>
      <c r="C336" s="38" t="s">
        <v>78</v>
      </c>
      <c r="D336" s="40" t="str">
        <f>Compras[Seleccion]</f>
        <v>Arandela</v>
      </c>
      <c r="E336" s="39" t="s">
        <v>54</v>
      </c>
      <c r="F336" s="41">
        <v>-4000.0</v>
      </c>
    </row>
    <row r="337" ht="22.5" customHeight="1">
      <c r="B337" s="40" t="s">
        <v>183</v>
      </c>
      <c r="C337" s="38" t="s">
        <v>74</v>
      </c>
      <c r="D337" s="40" t="str">
        <f>Compras[Seleccion]</f>
        <v>Bolsa amarilla</v>
      </c>
      <c r="E337" s="39" t="s">
        <v>54</v>
      </c>
      <c r="F337" s="41">
        <v>-300.0</v>
      </c>
    </row>
    <row r="338" ht="22.5" customHeight="1">
      <c r="B338" s="40" t="s">
        <v>183</v>
      </c>
      <c r="C338" s="38" t="s">
        <v>75</v>
      </c>
      <c r="D338" s="40" t="str">
        <f>Compras[Seleccion]</f>
        <v>Bolsa naranja</v>
      </c>
      <c r="E338" s="39" t="s">
        <v>54</v>
      </c>
      <c r="F338" s="41">
        <v>-700.0</v>
      </c>
    </row>
    <row r="339" ht="22.5" customHeight="1">
      <c r="B339" s="40" t="s">
        <v>183</v>
      </c>
      <c r="C339" s="38" t="s">
        <v>80</v>
      </c>
      <c r="D339" s="40" t="str">
        <f>Compras[Seleccion]</f>
        <v>Bolsa roja</v>
      </c>
      <c r="E339" s="39" t="s">
        <v>54</v>
      </c>
      <c r="F339" s="41">
        <v>-400.0</v>
      </c>
    </row>
    <row r="340" ht="22.5" customHeight="1">
      <c r="B340" s="40" t="s">
        <v>183</v>
      </c>
      <c r="C340" s="38" t="s">
        <v>81</v>
      </c>
      <c r="D340" s="40" t="str">
        <f>Compras[Seleccion]</f>
        <v>Bolsa verde</v>
      </c>
      <c r="E340" s="39" t="s">
        <v>54</v>
      </c>
      <c r="F340" s="41">
        <v>-400.0</v>
      </c>
    </row>
    <row r="341" ht="22.5" customHeight="1">
      <c r="B341" s="40" t="s">
        <v>183</v>
      </c>
      <c r="C341" s="38" t="s">
        <v>50</v>
      </c>
      <c r="D341" s="40" t="str">
        <f>Compras[Seleccion]</f>
        <v>Tarjetas valoraciones</v>
      </c>
      <c r="E341" s="39" t="s">
        <v>54</v>
      </c>
      <c r="F341" s="41"/>
    </row>
    <row r="342" ht="22.5" customHeight="1">
      <c r="B342" s="40" t="s">
        <v>176</v>
      </c>
      <c r="C342" s="38" t="s">
        <v>74</v>
      </c>
      <c r="D342" s="40" t="str">
        <f>Compras[Seleccion]</f>
        <v>Bolsa amarilla</v>
      </c>
      <c r="E342" s="39" t="s">
        <v>54</v>
      </c>
      <c r="F342" s="41">
        <v>59.0</v>
      </c>
    </row>
    <row r="343" ht="22.5" customHeight="1">
      <c r="B343" s="40" t="s">
        <v>176</v>
      </c>
      <c r="C343" s="38" t="s">
        <v>75</v>
      </c>
      <c r="D343" s="40" t="str">
        <f>Compras[Seleccion]</f>
        <v>Bolsa naranja</v>
      </c>
      <c r="E343" s="39" t="s">
        <v>54</v>
      </c>
      <c r="F343" s="41">
        <v>22.0</v>
      </c>
    </row>
    <row r="344" ht="22.5" customHeight="1">
      <c r="B344" s="40" t="s">
        <v>178</v>
      </c>
      <c r="C344" s="38" t="s">
        <v>80</v>
      </c>
      <c r="D344" s="40" t="str">
        <f>Compras[Seleccion]</f>
        <v>Bolsa roja</v>
      </c>
      <c r="E344" s="39" t="s">
        <v>54</v>
      </c>
      <c r="F344" s="41">
        <v>-37.0</v>
      </c>
    </row>
    <row r="345" ht="22.5" customHeight="1">
      <c r="B345" s="40" t="s">
        <v>178</v>
      </c>
      <c r="C345" s="38" t="s">
        <v>81</v>
      </c>
      <c r="D345" s="40" t="str">
        <f>Compras[Seleccion]</f>
        <v>Bolsa verde</v>
      </c>
      <c r="E345" s="39" t="s">
        <v>54</v>
      </c>
      <c r="F345" s="41">
        <v>-37.0</v>
      </c>
    </row>
    <row r="346" ht="22.5" customHeight="1">
      <c r="B346" s="40" t="s">
        <v>178</v>
      </c>
      <c r="C346" s="38" t="s">
        <v>78</v>
      </c>
      <c r="D346" s="40" t="str">
        <f>Compras[Seleccion]</f>
        <v>Arandela</v>
      </c>
      <c r="E346" s="39" t="s">
        <v>54</v>
      </c>
      <c r="F346" s="41">
        <f>-133-18</f>
        <v>-151</v>
      </c>
    </row>
    <row r="347" ht="22.5" customHeight="1">
      <c r="B347" s="40" t="s">
        <v>178</v>
      </c>
      <c r="C347" s="38" t="s">
        <v>79</v>
      </c>
      <c r="D347" s="40" t="str">
        <f>Compras[Seleccion]</f>
        <v>Bolsas peonzas</v>
      </c>
      <c r="E347" s="39" t="s">
        <v>54</v>
      </c>
      <c r="F347" s="41">
        <v>1601.0</v>
      </c>
    </row>
    <row r="348" ht="22.5" customHeight="1">
      <c r="B348" s="40" t="s">
        <v>178</v>
      </c>
      <c r="C348" s="38" t="s">
        <v>77</v>
      </c>
      <c r="D348" s="40" t="str">
        <f>Compras[Seleccion]</f>
        <v>Peonza tradi (52mm)</v>
      </c>
      <c r="E348" s="39" t="s">
        <v>54</v>
      </c>
      <c r="F348" s="41">
        <f>4+128</f>
        <v>132</v>
      </c>
    </row>
    <row r="349" ht="22.5" customHeight="1">
      <c r="B349" s="40" t="s">
        <v>178</v>
      </c>
      <c r="C349" s="38" t="s">
        <v>82</v>
      </c>
      <c r="D349" s="40" t="str">
        <f>Compras[Seleccion]</f>
        <v>Peonza mini (48mm)</v>
      </c>
      <c r="E349" s="39" t="s">
        <v>54</v>
      </c>
      <c r="F349" s="41">
        <v>258.0</v>
      </c>
    </row>
    <row r="350" ht="22.5" customHeight="1">
      <c r="B350" s="40" t="s">
        <v>176</v>
      </c>
      <c r="C350" s="38" t="s">
        <v>160</v>
      </c>
      <c r="D350" s="40" t="str">
        <f>Compras[Seleccion]</f>
        <v>Peonza boligrafo</v>
      </c>
      <c r="E350" s="39" t="s">
        <v>52</v>
      </c>
      <c r="F350" s="41">
        <v>-16.0</v>
      </c>
    </row>
    <row r="351" ht="22.5" customHeight="1">
      <c r="B351" s="42">
        <v>46013.0</v>
      </c>
      <c r="C351" s="38" t="s">
        <v>94</v>
      </c>
      <c r="D351" s="40" t="str">
        <f>Compras[Seleccion]</f>
        <v>Tapon 3d set FlexiVox (negro)</v>
      </c>
      <c r="E351" s="39" t="s">
        <v>54</v>
      </c>
      <c r="F351" s="41">
        <f>670+258</f>
        <v>928</v>
      </c>
    </row>
    <row r="352" ht="22.5" customHeight="1">
      <c r="B352" s="42">
        <v>46014.0</v>
      </c>
      <c r="C352" s="38" t="s">
        <v>99</v>
      </c>
      <c r="D352" s="40" t="str">
        <f>Compras[Seleccion]</f>
        <v>Tapon 3d set FlexiVox (rojo)</v>
      </c>
      <c r="E352" s="39" t="s">
        <v>54</v>
      </c>
      <c r="F352" s="41">
        <f>458+245</f>
        <v>703</v>
      </c>
    </row>
    <row r="353" ht="22.5" customHeight="1">
      <c r="B353" s="40" t="s">
        <v>176</v>
      </c>
      <c r="C353" s="38" t="s">
        <v>90</v>
      </c>
      <c r="D353" s="40" t="str">
        <f>Compras[Seleccion]</f>
        <v>Manguera FlexiVox (negra)</v>
      </c>
      <c r="E353" s="39" t="s">
        <v>54</v>
      </c>
      <c r="F353" s="41">
        <v>-100.0</v>
      </c>
    </row>
    <row r="354" ht="22.5" customHeight="1">
      <c r="B354" s="42">
        <v>46016.0</v>
      </c>
      <c r="C354" s="38" t="s">
        <v>104</v>
      </c>
      <c r="D354" s="40" t="str">
        <f>Compras[Seleccion]</f>
        <v>Vaso medidor 10ml</v>
      </c>
      <c r="E354" s="39" t="s">
        <v>54</v>
      </c>
      <c r="F354" s="41">
        <v>9350.0</v>
      </c>
    </row>
    <row r="355" ht="22.5" customHeight="1">
      <c r="B355" s="42">
        <v>46013.0</v>
      </c>
      <c r="C355" s="38" t="s">
        <v>127</v>
      </c>
      <c r="D355" s="40" t="str">
        <f>Compras[Seleccion]</f>
        <v>Vaso medidor 50ml</v>
      </c>
      <c r="E355" s="39" t="s">
        <v>54</v>
      </c>
      <c r="F355" s="41">
        <v>7500.0</v>
      </c>
    </row>
    <row r="356" ht="22.5" customHeight="1">
      <c r="B356" s="42">
        <v>46013.0</v>
      </c>
      <c r="C356" s="38" t="s">
        <v>113</v>
      </c>
      <c r="D356" s="40" t="str">
        <f>Compras[Seleccion]</f>
        <v>Bolsas calcio en polvo</v>
      </c>
      <c r="E356" s="39" t="s">
        <v>54</v>
      </c>
      <c r="F356" s="41">
        <v>2013.0</v>
      </c>
    </row>
    <row r="357" ht="22.5" customHeight="1">
      <c r="B357" s="40" t="s">
        <v>184</v>
      </c>
      <c r="C357" s="38" t="s">
        <v>50</v>
      </c>
      <c r="D357" s="40" t="str">
        <f>Compras[Seleccion]</f>
        <v>Tarjetas valoraciones</v>
      </c>
      <c r="E357" s="39" t="s">
        <v>54</v>
      </c>
      <c r="F357" s="41">
        <v>3870.0</v>
      </c>
    </row>
    <row r="358" ht="22.5" customHeight="1">
      <c r="B358" s="40" t="s">
        <v>185</v>
      </c>
      <c r="C358" s="38" t="s">
        <v>50</v>
      </c>
      <c r="D358" s="40" t="str">
        <f>Compras[Seleccion]</f>
        <v>Tarjetas valoraciones</v>
      </c>
      <c r="E358" s="39" t="s">
        <v>54</v>
      </c>
      <c r="F358" s="41">
        <v>5000.0</v>
      </c>
    </row>
    <row r="359" ht="22.5" customHeight="1">
      <c r="B359" s="40" t="s">
        <v>184</v>
      </c>
      <c r="C359" s="38" t="s">
        <v>53</v>
      </c>
      <c r="D359" s="40" t="str">
        <f>Compras[Seleccion]</f>
        <v>Packaging calcio 4</v>
      </c>
      <c r="E359" s="39" t="s">
        <v>54</v>
      </c>
      <c r="F359" s="41">
        <v>-5000.0</v>
      </c>
    </row>
    <row r="360" ht="22.5" customHeight="1">
      <c r="B360" s="40" t="s">
        <v>184</v>
      </c>
      <c r="C360" s="38" t="s">
        <v>56</v>
      </c>
      <c r="D360" s="40" t="str">
        <f>Compras[Seleccion]</f>
        <v>Packaging calcio 8</v>
      </c>
      <c r="E360" s="39" t="s">
        <v>54</v>
      </c>
      <c r="F360" s="41">
        <v>-100.0</v>
      </c>
    </row>
    <row r="361" ht="22.5" customHeight="1">
      <c r="B361" s="40" t="s">
        <v>184</v>
      </c>
      <c r="C361" s="38" t="s">
        <v>57</v>
      </c>
      <c r="D361" s="40" t="str">
        <f>Compras[Seleccion]</f>
        <v>Packaging calcio 15</v>
      </c>
      <c r="E361" s="39" t="s">
        <v>54</v>
      </c>
      <c r="F361" s="41">
        <v>-100.0</v>
      </c>
    </row>
    <row r="362" ht="22.5" customHeight="1">
      <c r="B362" s="42">
        <v>46021.0</v>
      </c>
      <c r="C362" s="38" t="s">
        <v>127</v>
      </c>
      <c r="D362" s="40" t="str">
        <f>Compras[Seleccion]</f>
        <v>Vaso medidor 50ml</v>
      </c>
      <c r="E362" s="39" t="s">
        <v>54</v>
      </c>
      <c r="F362" s="41">
        <v>2000.0</v>
      </c>
    </row>
    <row r="363" ht="22.5" customHeight="1">
      <c r="B363" s="42">
        <v>46014.0</v>
      </c>
      <c r="C363" s="38" t="s">
        <v>50</v>
      </c>
      <c r="D363" s="40" t="str">
        <f>Compras[Seleccion]</f>
        <v>Tarjetas valoraciones</v>
      </c>
      <c r="E363" s="39" t="s">
        <v>54</v>
      </c>
      <c r="F363" s="41">
        <v>10000.0</v>
      </c>
    </row>
    <row r="364" ht="22.5" customHeight="1">
      <c r="B364" s="40" t="s">
        <v>184</v>
      </c>
      <c r="C364" s="38" t="s">
        <v>76</v>
      </c>
      <c r="D364" s="40" t="str">
        <f>Compras[Seleccion]</f>
        <v>Ceras peonzas</v>
      </c>
      <c r="E364" s="39" t="s">
        <v>54</v>
      </c>
      <c r="F364" s="41">
        <v>-103.0</v>
      </c>
    </row>
    <row r="365" ht="22.5" customHeight="1">
      <c r="B365" s="40" t="s">
        <v>175</v>
      </c>
      <c r="C365" s="38" t="s">
        <v>53</v>
      </c>
      <c r="D365" s="40" t="str">
        <f>Compras[Seleccion]</f>
        <v>Packaging calcio 4</v>
      </c>
      <c r="E365" s="39" t="s">
        <v>54</v>
      </c>
      <c r="F365" s="41">
        <v>-340.0</v>
      </c>
    </row>
    <row r="366" ht="22.5" customHeight="1">
      <c r="B366" s="40" t="s">
        <v>175</v>
      </c>
      <c r="C366" s="38" t="s">
        <v>56</v>
      </c>
      <c r="D366" s="40" t="str">
        <f>Compras[Seleccion]</f>
        <v>Packaging calcio 8</v>
      </c>
      <c r="E366" s="39" t="s">
        <v>54</v>
      </c>
      <c r="F366" s="41">
        <v>-650.0</v>
      </c>
    </row>
    <row r="367" ht="22.5" customHeight="1">
      <c r="B367" s="40" t="s">
        <v>175</v>
      </c>
      <c r="C367" s="38" t="s">
        <v>57</v>
      </c>
      <c r="D367" s="40" t="str">
        <f>Compras[Seleccion]</f>
        <v>Packaging calcio 15</v>
      </c>
      <c r="E367" s="39" t="s">
        <v>54</v>
      </c>
      <c r="F367" s="41">
        <v>-75.0</v>
      </c>
    </row>
    <row r="368" ht="22.5" customHeight="1">
      <c r="B368" s="40" t="s">
        <v>186</v>
      </c>
      <c r="C368" s="38" t="s">
        <v>58</v>
      </c>
      <c r="D368" s="40" t="str">
        <f>Compras[Seleccion]</f>
        <v>Bolsas Blister</v>
      </c>
      <c r="E368" s="39" t="s">
        <v>54</v>
      </c>
      <c r="F368" s="41">
        <v>8000.0</v>
      </c>
    </row>
    <row r="369" ht="22.5" customHeight="1">
      <c r="B369" s="42">
        <v>46021.0</v>
      </c>
      <c r="C369" s="38" t="s">
        <v>86</v>
      </c>
      <c r="D369" s="40" t="str">
        <f>Compras[Seleccion]</f>
        <v>Manguera FlexiVox (transparente)</v>
      </c>
      <c r="E369" s="39" t="s">
        <v>54</v>
      </c>
      <c r="F369" s="41">
        <v>5100.0</v>
      </c>
    </row>
    <row r="370" ht="22.5" customHeight="1">
      <c r="B370" s="42">
        <v>46021.0</v>
      </c>
      <c r="C370" s="38" t="s">
        <v>88</v>
      </c>
      <c r="D370" s="40" t="str">
        <f>Compras[Seleccion]</f>
        <v>Manguera FlexiVox (roja)</v>
      </c>
      <c r="E370" s="39" t="s">
        <v>54</v>
      </c>
      <c r="F370" s="41">
        <v>3150.0</v>
      </c>
    </row>
    <row r="371" ht="22.5" customHeight="1">
      <c r="B371" s="42">
        <v>46021.0</v>
      </c>
      <c r="C371" s="38" t="s">
        <v>90</v>
      </c>
      <c r="D371" s="40" t="str">
        <f>Compras[Seleccion]</f>
        <v>Manguera FlexiVox (negra)</v>
      </c>
      <c r="E371" s="39" t="s">
        <v>54</v>
      </c>
      <c r="F371" s="41">
        <v>3050.0</v>
      </c>
    </row>
    <row r="372" ht="22.5" customHeight="1">
      <c r="B372" s="42">
        <v>46021.0</v>
      </c>
      <c r="C372" s="38" t="s">
        <v>93</v>
      </c>
      <c r="D372" s="40" t="str">
        <f>Compras[Seleccion]</f>
        <v>Botella transparente FlexiVox</v>
      </c>
      <c r="E372" s="39" t="s">
        <v>54</v>
      </c>
      <c r="F372" s="41">
        <f>15+25</f>
        <v>40</v>
      </c>
    </row>
    <row r="373" ht="22.5" customHeight="1">
      <c r="B373" s="42">
        <v>46021.0</v>
      </c>
      <c r="C373" s="38" t="s">
        <v>101</v>
      </c>
      <c r="D373" s="40" t="str">
        <f>Compras[Seleccion]</f>
        <v>Botella negra FlexiVox</v>
      </c>
      <c r="E373" s="39" t="s">
        <v>54</v>
      </c>
      <c r="F373" s="41">
        <f>12+250</f>
        <v>262</v>
      </c>
    </row>
    <row r="374" ht="22.5" customHeight="1">
      <c r="B374" s="42">
        <v>46021.0</v>
      </c>
      <c r="C374" s="38" t="s">
        <v>98</v>
      </c>
      <c r="D374" s="40" t="str">
        <f>Compras[Seleccion]</f>
        <v>Botella roja FlexiVox</v>
      </c>
      <c r="E374" s="39" t="s">
        <v>54</v>
      </c>
      <c r="F374" s="41">
        <v>250.0</v>
      </c>
    </row>
    <row r="375" ht="22.5" customHeight="1">
      <c r="B375" s="40" t="s">
        <v>161</v>
      </c>
      <c r="C375" s="38" t="s">
        <v>93</v>
      </c>
      <c r="D375" s="40" t="str">
        <f>Compras[Seleccion]</f>
        <v>Botella transparente FlexiVox</v>
      </c>
      <c r="E375" s="39" t="s">
        <v>54</v>
      </c>
      <c r="F375" s="41">
        <v>3760.0</v>
      </c>
    </row>
    <row r="376" ht="22.5" customHeight="1">
      <c r="B376" s="40" t="s">
        <v>161</v>
      </c>
      <c r="C376" s="38" t="s">
        <v>101</v>
      </c>
      <c r="D376" s="40" t="str">
        <f>Compras[Seleccion]</f>
        <v>Botella negra FlexiVox</v>
      </c>
      <c r="E376" s="39" t="s">
        <v>54</v>
      </c>
      <c r="F376" s="41">
        <v>1226.0</v>
      </c>
    </row>
    <row r="377" ht="22.5" customHeight="1">
      <c r="B377" s="40" t="s">
        <v>161</v>
      </c>
      <c r="C377" s="38" t="s">
        <v>98</v>
      </c>
      <c r="D377" s="40" t="str">
        <f>Compras[Seleccion]</f>
        <v>Botella roja FlexiVox</v>
      </c>
      <c r="E377" s="39" t="s">
        <v>54</v>
      </c>
      <c r="F377" s="41">
        <v>1198.0</v>
      </c>
    </row>
    <row r="378" ht="22.5" customHeight="1">
      <c r="B378" s="40" t="s">
        <v>161</v>
      </c>
      <c r="C378" s="38" t="s">
        <v>61</v>
      </c>
      <c r="D378" s="40" t="str">
        <f>Compras[Seleccion]</f>
        <v>Torre 125 Blister 2 euro</v>
      </c>
      <c r="E378" s="39" t="s">
        <v>54</v>
      </c>
      <c r="F378" s="41">
        <v>1.0</v>
      </c>
    </row>
    <row r="379" ht="22.5" customHeight="1">
      <c r="B379" s="40" t="s">
        <v>161</v>
      </c>
      <c r="C379" s="38" t="s">
        <v>63</v>
      </c>
      <c r="D379" s="40" t="str">
        <f>Compras[Seleccion]</f>
        <v>Torre 125 Blister 1 euro</v>
      </c>
      <c r="E379" s="39" t="s">
        <v>54</v>
      </c>
      <c r="F379" s="41">
        <v>4.0</v>
      </c>
    </row>
    <row r="380" ht="22.5" customHeight="1">
      <c r="B380" s="40" t="s">
        <v>161</v>
      </c>
      <c r="C380" s="38" t="s">
        <v>65</v>
      </c>
      <c r="D380" s="40" t="str">
        <f>Compras[Seleccion]</f>
        <v>Torre 125 Blister 50 cts</v>
      </c>
      <c r="E380" s="39" t="s">
        <v>54</v>
      </c>
      <c r="F380" s="41">
        <v>33.0</v>
      </c>
    </row>
    <row r="381" ht="22.5" customHeight="1">
      <c r="B381" s="40" t="s">
        <v>161</v>
      </c>
      <c r="C381" s="38" t="s">
        <v>116</v>
      </c>
      <c r="D381" s="40" t="str">
        <f>Compras[Seleccion]</f>
        <v>Pegatina 400 Mix blister</v>
      </c>
      <c r="E381" s="39" t="s">
        <v>54</v>
      </c>
      <c r="F381" s="41">
        <v>140.0</v>
      </c>
    </row>
    <row r="382" ht="22.5" customHeight="1">
      <c r="B382" s="40" t="s">
        <v>161</v>
      </c>
      <c r="C382" s="38" t="s">
        <v>62</v>
      </c>
      <c r="D382" s="40" t="str">
        <f>Compras[Seleccion]</f>
        <v>Flyer Blister 1 euro</v>
      </c>
      <c r="E382" s="39" t="s">
        <v>54</v>
      </c>
      <c r="F382" s="41">
        <v>94.0</v>
      </c>
    </row>
    <row r="383" ht="22.5" customHeight="1">
      <c r="B383" s="40" t="s">
        <v>161</v>
      </c>
      <c r="C383" s="38" t="s">
        <v>105</v>
      </c>
      <c r="D383" s="40" t="str">
        <f>Compras[Seleccion]</f>
        <v>Mast 45/7 - 3mm</v>
      </c>
      <c r="E383" s="39" t="s">
        <v>106</v>
      </c>
      <c r="F383" s="41">
        <f>-1395300</f>
        <v>-1395300</v>
      </c>
    </row>
    <row r="384" ht="22.5" customHeight="1">
      <c r="B384" s="40" t="s">
        <v>161</v>
      </c>
      <c r="C384" s="38" t="s">
        <v>165</v>
      </c>
      <c r="D384" s="40" t="str">
        <f>Compras[Seleccion]</f>
        <v>Pegatina Gusanos de la harina</v>
      </c>
      <c r="E384" s="39" t="s">
        <v>52</v>
      </c>
      <c r="F384" s="41">
        <v>28.0</v>
      </c>
    </row>
    <row r="385" ht="22.5" customHeight="1">
      <c r="B385" s="40" t="s">
        <v>187</v>
      </c>
      <c r="C385" s="38" t="s">
        <v>50</v>
      </c>
      <c r="D385" s="40" t="str">
        <f>Compras[Seleccion]</f>
        <v>Tarjetas valoraciones</v>
      </c>
      <c r="E385" s="39" t="s">
        <v>54</v>
      </c>
      <c r="F385" s="41">
        <v>-5000.0</v>
      </c>
    </row>
    <row r="386" ht="22.5" customHeight="1">
      <c r="B386" s="40" t="s">
        <v>187</v>
      </c>
      <c r="C386" s="38" t="s">
        <v>79</v>
      </c>
      <c r="D386" s="40" t="str">
        <f>Compras[Seleccion]</f>
        <v>Bolsas peonzas</v>
      </c>
      <c r="E386" s="39" t="s">
        <v>54</v>
      </c>
      <c r="F386" s="41"/>
    </row>
    <row r="387" ht="22.5" customHeight="1">
      <c r="B387" s="40" t="s">
        <v>187</v>
      </c>
      <c r="C387" s="38" t="s">
        <v>76</v>
      </c>
      <c r="D387" s="40" t="str">
        <f>Compras[Seleccion]</f>
        <v>Ceras peonzas</v>
      </c>
      <c r="E387" s="39" t="s">
        <v>54</v>
      </c>
      <c r="F387" s="41">
        <v>-202.0</v>
      </c>
    </row>
    <row r="388" ht="22.5" customHeight="1">
      <c r="B388" s="40" t="s">
        <v>175</v>
      </c>
      <c r="C388" s="38" t="s">
        <v>58</v>
      </c>
      <c r="D388" s="40" t="str">
        <f>Compras[Seleccion]</f>
        <v>Bolsas Blister</v>
      </c>
      <c r="E388" s="39" t="s">
        <v>54</v>
      </c>
      <c r="F388" s="41">
        <v>-2000.0</v>
      </c>
    </row>
    <row r="389" ht="22.5" customHeight="1">
      <c r="B389" s="40" t="s">
        <v>175</v>
      </c>
      <c r="C389" s="38" t="s">
        <v>50</v>
      </c>
      <c r="D389" s="40" t="str">
        <f>Compras[Seleccion]</f>
        <v>Tarjetas valoraciones</v>
      </c>
      <c r="E389" s="39" t="s">
        <v>54</v>
      </c>
      <c r="F389" s="41">
        <f>-4000-80</f>
        <v>-4080</v>
      </c>
    </row>
    <row r="390" ht="22.5" customHeight="1">
      <c r="B390" s="40" t="s">
        <v>175</v>
      </c>
      <c r="C390" s="38" t="s">
        <v>60</v>
      </c>
      <c r="D390" s="40" t="str">
        <f>Compras[Seleccion]</f>
        <v>Flyer Blister 2 euro</v>
      </c>
      <c r="E390" s="39" t="s">
        <v>54</v>
      </c>
      <c r="F390" s="41">
        <v>1900.0</v>
      </c>
    </row>
    <row r="391" ht="22.5" customHeight="1">
      <c r="B391" s="40" t="s">
        <v>175</v>
      </c>
      <c r="C391" s="38" t="s">
        <v>62</v>
      </c>
      <c r="D391" s="40" t="str">
        <f>Compras[Seleccion]</f>
        <v>Flyer Blister 1 euro</v>
      </c>
      <c r="E391" s="39" t="s">
        <v>54</v>
      </c>
      <c r="F391" s="41"/>
    </row>
    <row r="392" ht="22.5" customHeight="1">
      <c r="B392" s="40" t="s">
        <v>175</v>
      </c>
      <c r="C392" s="38" t="s">
        <v>188</v>
      </c>
      <c r="D392" s="40" t="str">
        <f>Compras[Seleccion]</f>
        <v>codigo de barras</v>
      </c>
      <c r="E392" s="39" t="s">
        <v>52</v>
      </c>
      <c r="F392" s="41"/>
    </row>
    <row r="393" ht="22.5" customHeight="1">
      <c r="B393" s="42">
        <v>46032.0</v>
      </c>
      <c r="C393" s="38" t="s">
        <v>62</v>
      </c>
      <c r="D393" s="40" t="str">
        <f>Compras[Seleccion]</f>
        <v>Flyer Blister 1 euro</v>
      </c>
      <c r="E393" s="39" t="s">
        <v>54</v>
      </c>
      <c r="F393" s="41">
        <v>2500.0</v>
      </c>
    </row>
    <row r="394" ht="22.5" customHeight="1">
      <c r="B394" s="42">
        <v>46032.0</v>
      </c>
      <c r="C394" s="38" t="s">
        <v>50</v>
      </c>
      <c r="D394" s="40" t="str">
        <f>Compras[Seleccion]</f>
        <v>Tarjetas valoraciones</v>
      </c>
      <c r="E394" s="39" t="s">
        <v>54</v>
      </c>
      <c r="F394" s="41">
        <v>90000.0</v>
      </c>
    </row>
    <row r="395" ht="22.5" customHeight="1">
      <c r="B395" s="40">
        <v>1.2012026E7</v>
      </c>
      <c r="C395" s="38" t="s">
        <v>90</v>
      </c>
      <c r="D395" s="40" t="str">
        <f>Compras[Seleccion]</f>
        <v>Manguera FlexiVox (negra)</v>
      </c>
      <c r="E395" s="39" t="s">
        <v>54</v>
      </c>
      <c r="F395" s="41">
        <v>100.0</v>
      </c>
    </row>
    <row r="396" ht="22.5" customHeight="1">
      <c r="B396" s="42">
        <v>46036.0</v>
      </c>
      <c r="C396" s="38" t="s">
        <v>93</v>
      </c>
      <c r="D396" s="40" t="str">
        <f>Compras[Seleccion]</f>
        <v>Botella transparente FlexiVox</v>
      </c>
      <c r="E396" s="39" t="s">
        <v>54</v>
      </c>
      <c r="F396" s="41">
        <v>3000.0</v>
      </c>
    </row>
    <row r="397" ht="22.5" customHeight="1">
      <c r="B397" s="42">
        <v>46038.0</v>
      </c>
      <c r="C397" s="38" t="s">
        <v>130</v>
      </c>
      <c r="D397" s="40" t="str">
        <f>Compras[Seleccion]</f>
        <v>Tupper rectangular</v>
      </c>
      <c r="E397" s="39" t="s">
        <v>52</v>
      </c>
      <c r="F397" s="41">
        <v>840.0</v>
      </c>
    </row>
    <row r="398" ht="22.5" customHeight="1">
      <c r="B398" s="40" t="s">
        <v>187</v>
      </c>
      <c r="C398" s="38" t="s">
        <v>72</v>
      </c>
      <c r="D398" s="40" t="str">
        <f>Compras[Seleccion]</f>
        <v>Pegatina 200 Mix blister</v>
      </c>
      <c r="E398" s="39" t="s">
        <v>54</v>
      </c>
      <c r="F398" s="41">
        <v>-300.0</v>
      </c>
    </row>
    <row r="399" ht="22.5" customHeight="1">
      <c r="B399" s="40" t="s">
        <v>189</v>
      </c>
      <c r="C399" s="38" t="s">
        <v>94</v>
      </c>
      <c r="D399" s="40" t="str">
        <f>Compras[Seleccion]</f>
        <v>Tapon 3d set FlexiVox (negro)</v>
      </c>
      <c r="E399" s="39" t="s">
        <v>54</v>
      </c>
      <c r="F399" s="41">
        <v>600.0</v>
      </c>
    </row>
    <row r="400" ht="22.5" customHeight="1">
      <c r="B400" s="42">
        <v>46057.0</v>
      </c>
      <c r="C400" s="38" t="s">
        <v>94</v>
      </c>
      <c r="D400" s="40" t="str">
        <f>Compras[Seleccion]</f>
        <v>Tapon 3d set FlexiVox (negro)</v>
      </c>
      <c r="E400" s="39" t="s">
        <v>54</v>
      </c>
      <c r="F400" s="41">
        <v>1370.0</v>
      </c>
    </row>
    <row r="401" ht="22.5" customHeight="1">
      <c r="B401" s="40" t="s">
        <v>161</v>
      </c>
      <c r="C401" s="38" t="s">
        <v>133</v>
      </c>
      <c r="D401" s="40" t="str">
        <f>Compras[Seleccion]</f>
        <v>Gusanos de la harina secos</v>
      </c>
      <c r="E401" s="39" t="s">
        <v>106</v>
      </c>
      <c r="F401" s="40">
        <v>387900.0</v>
      </c>
    </row>
    <row r="402" ht="22.5" customHeight="1">
      <c r="B402" s="42">
        <v>46064.0</v>
      </c>
      <c r="C402" s="38" t="s">
        <v>133</v>
      </c>
      <c r="D402" s="40" t="str">
        <f>Compras[Seleccion]</f>
        <v>Gusanos de la harina secos</v>
      </c>
      <c r="E402" s="39" t="s">
        <v>106</v>
      </c>
      <c r="F402" s="41">
        <v>350000.0</v>
      </c>
    </row>
    <row r="403" ht="22.5" customHeight="1">
      <c r="B403" s="42">
        <v>46064.0</v>
      </c>
      <c r="C403" s="38" t="s">
        <v>134</v>
      </c>
      <c r="D403" s="40" t="str">
        <f>Compras[Seleccion]</f>
        <v>175g bolsa zip gusanos</v>
      </c>
      <c r="E403" s="39" t="s">
        <v>54</v>
      </c>
      <c r="F403" s="41">
        <v>1020.0</v>
      </c>
    </row>
    <row r="404" ht="22.5" customHeight="1">
      <c r="B404" s="42">
        <v>46064.0</v>
      </c>
      <c r="C404" s="38" t="s">
        <v>136</v>
      </c>
      <c r="D404" s="40" t="str">
        <f>Compras[Seleccion]</f>
        <v>300g bolsa zip gusanos</v>
      </c>
      <c r="E404" s="39" t="s">
        <v>54</v>
      </c>
      <c r="F404" s="41">
        <v>2051.0</v>
      </c>
    </row>
    <row r="405" ht="22.5" customHeight="1">
      <c r="B405" s="42">
        <v>46064.0</v>
      </c>
      <c r="C405" s="38" t="s">
        <v>138</v>
      </c>
      <c r="D405" s="40" t="str">
        <f>Compras[Seleccion]</f>
        <v>800g bolsa zip gusanos</v>
      </c>
      <c r="E405" s="39" t="s">
        <v>54</v>
      </c>
      <c r="F405" s="41">
        <v>3017.0</v>
      </c>
    </row>
    <row r="406" ht="22.5" customHeight="1">
      <c r="B406" s="40" t="s">
        <v>161</v>
      </c>
      <c r="C406" s="38" t="s">
        <v>127</v>
      </c>
      <c r="D406" s="40" t="str">
        <f>Compras[Seleccion]</f>
        <v>Vaso medidor 50ml</v>
      </c>
      <c r="E406" s="39" t="s">
        <v>54</v>
      </c>
      <c r="F406" s="41">
        <f>9560-7418</f>
        <v>2142</v>
      </c>
    </row>
    <row r="407" ht="22.5" customHeight="1">
      <c r="B407" s="40" t="s">
        <v>190</v>
      </c>
      <c r="C407" s="38" t="s">
        <v>127</v>
      </c>
      <c r="D407" s="40" t="str">
        <f>Compras[Seleccion]</f>
        <v>Vaso medidor 50ml</v>
      </c>
      <c r="E407" s="39" t="s">
        <v>54</v>
      </c>
      <c r="F407" s="41">
        <v>9560.0</v>
      </c>
    </row>
    <row r="408" ht="22.5" customHeight="1">
      <c r="B408" s="40" t="s">
        <v>161</v>
      </c>
      <c r="C408" s="38" t="s">
        <v>104</v>
      </c>
      <c r="D408" s="40" t="str">
        <f>Compras[Seleccion]</f>
        <v>Vaso medidor 10ml</v>
      </c>
      <c r="E408" s="39" t="s">
        <v>54</v>
      </c>
      <c r="F408" s="41">
        <v>344.0</v>
      </c>
    </row>
    <row r="409" ht="22.5" customHeight="1">
      <c r="B409" s="40" t="s">
        <v>190</v>
      </c>
      <c r="C409" s="38" t="s">
        <v>104</v>
      </c>
      <c r="D409" s="40" t="str">
        <f>Compras[Seleccion]</f>
        <v>Vaso medidor 10ml</v>
      </c>
      <c r="E409" s="39" t="s">
        <v>54</v>
      </c>
      <c r="F409" s="41">
        <v>7655.0</v>
      </c>
    </row>
    <row r="410" ht="22.5" customHeight="1">
      <c r="B410" s="42">
        <v>46066.0</v>
      </c>
      <c r="C410" s="38" t="s">
        <v>109</v>
      </c>
      <c r="D410" s="40" t="str">
        <f>Compras[Seleccion]</f>
        <v>Comida Gammarus</v>
      </c>
      <c r="E410" s="39" t="s">
        <v>106</v>
      </c>
      <c r="F410" s="41">
        <v>30000.0</v>
      </c>
    </row>
    <row r="411" ht="22.5" customHeight="1">
      <c r="B411" s="42">
        <v>46066.0</v>
      </c>
      <c r="C411" s="38" t="s">
        <v>133</v>
      </c>
      <c r="D411" s="40" t="str">
        <f>Compras[Seleccion]</f>
        <v>Gusanos de la harina secos</v>
      </c>
      <c r="E411" s="39" t="s">
        <v>106</v>
      </c>
      <c r="F411" s="41">
        <v>1020000.0</v>
      </c>
    </row>
    <row r="412" ht="22.5" customHeight="1">
      <c r="B412" s="42">
        <v>46069.0</v>
      </c>
      <c r="C412" s="38" t="s">
        <v>105</v>
      </c>
      <c r="D412" s="40" t="str">
        <f>Compras[Seleccion]</f>
        <v>Mast 45/7 - 3mm</v>
      </c>
      <c r="E412" s="39" t="s">
        <v>106</v>
      </c>
      <c r="F412" s="41">
        <v>600000.0</v>
      </c>
    </row>
    <row r="413" ht="22.5" customHeight="1">
      <c r="B413" s="42">
        <v>46078.0</v>
      </c>
      <c r="C413" s="38" t="s">
        <v>141</v>
      </c>
      <c r="D413" s="40" t="str">
        <f>Compras[Seleccion]</f>
        <v>Larvas de mosca</v>
      </c>
      <c r="E413" s="39" t="s">
        <v>106</v>
      </c>
      <c r="F413" s="41">
        <v>375000.0</v>
      </c>
    </row>
    <row r="414" ht="22.5" customHeight="1">
      <c r="B414" s="42">
        <v>46076.0</v>
      </c>
      <c r="C414" s="38" t="s">
        <v>142</v>
      </c>
      <c r="D414" s="40" t="str">
        <f>Compras[Seleccion]</f>
        <v>1000g bolsa zip larva mosca</v>
      </c>
      <c r="E414" s="39" t="s">
        <v>54</v>
      </c>
      <c r="F414" s="41">
        <v>1037.0</v>
      </c>
    </row>
    <row r="415" ht="22.5" customHeight="1">
      <c r="B415" s="42">
        <v>46078.0</v>
      </c>
      <c r="C415" s="38" t="s">
        <v>145</v>
      </c>
      <c r="D415" s="40" t="str">
        <f>Compras[Seleccion]</f>
        <v>bolsa zip Menú Sticks</v>
      </c>
      <c r="E415" s="39" t="s">
        <v>106</v>
      </c>
      <c r="F415" s="41">
        <v>4000.0</v>
      </c>
    </row>
    <row r="416" ht="22.5" customHeight="1">
      <c r="B416" s="42">
        <v>46078.0</v>
      </c>
      <c r="C416" s="38" t="s">
        <v>144</v>
      </c>
      <c r="D416" s="40" t="str">
        <f>Compras[Seleccion]</f>
        <v>Fischfit Karpfen 26/6 - 5mm</v>
      </c>
      <c r="E416" s="39" t="s">
        <v>106</v>
      </c>
      <c r="F416" s="41">
        <v>600000.0</v>
      </c>
    </row>
    <row r="417" ht="22.5" customHeight="1">
      <c r="B417" s="42">
        <v>46079.0</v>
      </c>
      <c r="C417" s="38" t="s">
        <v>107</v>
      </c>
      <c r="D417" s="40" t="str">
        <f>Compras[Seleccion]</f>
        <v>bolsa zip Menu Junior</v>
      </c>
      <c r="E417" s="39" t="s">
        <v>54</v>
      </c>
      <c r="F417" s="41">
        <v>5012.0</v>
      </c>
    </row>
    <row r="418" ht="22.5" customHeight="1">
      <c r="B418" s="40" t="s">
        <v>191</v>
      </c>
      <c r="C418" s="38" t="s">
        <v>107</v>
      </c>
      <c r="D418" s="40" t="str">
        <f>Compras[Seleccion]</f>
        <v>bolsa zip Menu Junior</v>
      </c>
      <c r="E418" s="39" t="s">
        <v>54</v>
      </c>
      <c r="F418" s="41">
        <v>-898.0</v>
      </c>
      <c r="H418" s="3" t="s">
        <v>192</v>
      </c>
    </row>
    <row r="419" ht="22.5" customHeight="1">
      <c r="B419" s="40" t="s">
        <v>191</v>
      </c>
      <c r="C419" s="38" t="s">
        <v>148</v>
      </c>
      <c r="D419" s="40" t="str">
        <f>Compras[Seleccion]</f>
        <v>bolsa zip 300g Gammarus</v>
      </c>
      <c r="E419" s="39" t="s">
        <v>54</v>
      </c>
      <c r="F419" s="41">
        <v>655.0</v>
      </c>
    </row>
    <row r="420" ht="22.5" customHeight="1">
      <c r="B420" s="40" t="s">
        <v>191</v>
      </c>
      <c r="C420" s="38" t="s">
        <v>109</v>
      </c>
      <c r="D420" s="40" t="str">
        <f>Compras[Seleccion]</f>
        <v>Comida Gammarus</v>
      </c>
      <c r="E420" s="39" t="s">
        <v>106</v>
      </c>
      <c r="F420" s="41">
        <f>15000*5+30000</f>
        <v>105000</v>
      </c>
    </row>
    <row r="421" ht="22.5" customHeight="1">
      <c r="B421" s="42">
        <v>46079.0</v>
      </c>
      <c r="C421" s="38" t="s">
        <v>110</v>
      </c>
      <c r="D421" s="40" t="str">
        <f>Compras[Seleccion]</f>
        <v>bolsa zip 75g Gammarus</v>
      </c>
      <c r="E421" s="39" t="s">
        <v>54</v>
      </c>
      <c r="F421" s="41">
        <v>4042.0</v>
      </c>
    </row>
    <row r="422" ht="22.5" customHeight="1">
      <c r="B422" s="42">
        <v>46079.0</v>
      </c>
      <c r="C422" s="38" t="s">
        <v>148</v>
      </c>
      <c r="D422" s="40" t="str">
        <f>Compras[Seleccion]</f>
        <v>bolsa zip 300g Gammarus</v>
      </c>
      <c r="E422" s="39" t="s">
        <v>54</v>
      </c>
      <c r="F422" s="41">
        <v>2026.0</v>
      </c>
    </row>
    <row r="423" ht="22.5" customHeight="1">
      <c r="B423" s="40" t="s">
        <v>161</v>
      </c>
      <c r="C423" s="38" t="s">
        <v>83</v>
      </c>
      <c r="D423" s="40" t="str">
        <f>Compras[Seleccion]</f>
        <v>Bolsa zip FlexiVox (transparente)</v>
      </c>
      <c r="E423" s="39" t="s">
        <v>54</v>
      </c>
      <c r="F423" s="41">
        <v>-777.0</v>
      </c>
      <c r="H423" s="3" t="s">
        <v>192</v>
      </c>
    </row>
    <row r="424" ht="22.5" customHeight="1">
      <c r="B424" s="40" t="s">
        <v>161</v>
      </c>
      <c r="C424" s="38" t="s">
        <v>87</v>
      </c>
      <c r="D424" s="40" t="str">
        <f>Compras[Seleccion]</f>
        <v>Bolsa zip FlexiVox (roja)</v>
      </c>
      <c r="E424" s="39" t="s">
        <v>54</v>
      </c>
      <c r="F424" s="41">
        <v>-142.0</v>
      </c>
      <c r="H424" s="3" t="s">
        <v>192</v>
      </c>
    </row>
    <row r="425" ht="22.5" customHeight="1">
      <c r="B425" s="40" t="s">
        <v>161</v>
      </c>
      <c r="C425" s="38" t="s">
        <v>89</v>
      </c>
      <c r="D425" s="40" t="str">
        <f>Compras[Seleccion]</f>
        <v>Bolsa zip FlexiVox (negra)</v>
      </c>
      <c r="E425" s="39" t="s">
        <v>54</v>
      </c>
      <c r="F425" s="41">
        <v>-262.0</v>
      </c>
      <c r="H425" s="3" t="s">
        <v>192</v>
      </c>
    </row>
    <row r="426" ht="22.5" customHeight="1">
      <c r="B426" s="40" t="s">
        <v>161</v>
      </c>
      <c r="C426" s="38" t="s">
        <v>100</v>
      </c>
      <c r="D426" s="40" t="str">
        <f>Compras[Seleccion]</f>
        <v>Cajas set FlexiVox (rojo)</v>
      </c>
      <c r="E426" s="39" t="s">
        <v>54</v>
      </c>
      <c r="F426" s="41">
        <v>-246.0</v>
      </c>
    </row>
    <row r="427" ht="22.5" customHeight="1">
      <c r="B427" s="40" t="s">
        <v>161</v>
      </c>
      <c r="C427" s="38" t="s">
        <v>102</v>
      </c>
      <c r="D427" s="40" t="str">
        <f>Compras[Seleccion]</f>
        <v>Cajas set FlexiVox (negro)</v>
      </c>
      <c r="E427" s="39" t="s">
        <v>54</v>
      </c>
      <c r="F427" s="41">
        <v>-211.0</v>
      </c>
    </row>
    <row r="428" ht="22.5" customHeight="1">
      <c r="B428" s="42">
        <v>46079.0</v>
      </c>
      <c r="C428" s="38" t="s">
        <v>83</v>
      </c>
      <c r="D428" s="40" t="str">
        <f>Compras[Seleccion]</f>
        <v>Bolsa zip FlexiVox (transparente)</v>
      </c>
      <c r="E428" s="39" t="s">
        <v>54</v>
      </c>
      <c r="F428" s="41">
        <v>3038.0</v>
      </c>
    </row>
    <row r="429" ht="22.5" customHeight="1">
      <c r="B429" s="42">
        <v>46079.0</v>
      </c>
      <c r="C429" s="38" t="s">
        <v>87</v>
      </c>
      <c r="D429" s="40" t="str">
        <f>Compras[Seleccion]</f>
        <v>Bolsa zip FlexiVox (roja)</v>
      </c>
      <c r="E429" s="39" t="s">
        <v>54</v>
      </c>
      <c r="F429" s="41">
        <v>1025.0</v>
      </c>
    </row>
    <row r="430" ht="22.5" customHeight="1">
      <c r="B430" s="42">
        <v>46079.0</v>
      </c>
      <c r="C430" s="38" t="s">
        <v>89</v>
      </c>
      <c r="D430" s="40" t="str">
        <f>Compras[Seleccion]</f>
        <v>Bolsa zip FlexiVox (negra)</v>
      </c>
      <c r="E430" s="39" t="s">
        <v>54</v>
      </c>
      <c r="F430" s="41">
        <v>1038.0</v>
      </c>
    </row>
    <row r="431" ht="22.5" customHeight="1">
      <c r="B431" s="40" t="s">
        <v>193</v>
      </c>
      <c r="C431" s="38" t="s">
        <v>109</v>
      </c>
      <c r="D431" s="40" t="str">
        <f>Compras[Seleccion]</f>
        <v>Comida Gammarus</v>
      </c>
      <c r="E431" s="39" t="s">
        <v>106</v>
      </c>
      <c r="F431" s="41">
        <v>-161000.0</v>
      </c>
    </row>
    <row r="432" ht="22.5" customHeight="1">
      <c r="B432" s="40" t="s">
        <v>175</v>
      </c>
      <c r="C432" s="38" t="s">
        <v>119</v>
      </c>
      <c r="D432" s="40" t="str">
        <f>Compras[Seleccion]</f>
        <v>Pegatina Pack 126 ceras</v>
      </c>
      <c r="E432" s="39" t="s">
        <v>54</v>
      </c>
      <c r="F432" s="41">
        <v>-370.0</v>
      </c>
    </row>
    <row r="433" ht="22.5" customHeight="1">
      <c r="B433" s="40" t="s">
        <v>175</v>
      </c>
      <c r="C433" s="38" t="s">
        <v>122</v>
      </c>
      <c r="D433" s="40" t="str">
        <f>Compras[Seleccion]</f>
        <v>Pegatina Caja 50 pack 4 lapices</v>
      </c>
      <c r="E433" s="39" t="s">
        <v>54</v>
      </c>
      <c r="F433" s="41">
        <v>-800.0</v>
      </c>
    </row>
    <row r="434" ht="22.5" customHeight="1">
      <c r="B434" s="40" t="s">
        <v>175</v>
      </c>
      <c r="C434" s="38" t="s">
        <v>125</v>
      </c>
      <c r="D434" s="40" t="str">
        <f>Compras[Seleccion]</f>
        <v>Pegatina Caja 25 pack 6 lapices</v>
      </c>
      <c r="E434" s="39" t="s">
        <v>54</v>
      </c>
      <c r="F434" s="41">
        <v>-400.0</v>
      </c>
    </row>
    <row r="435" ht="22.5" customHeight="1">
      <c r="B435" s="42"/>
      <c r="C435" s="38" t="s">
        <v>94</v>
      </c>
      <c r="D435" s="40" t="str">
        <f>Compras[Seleccion]</f>
        <v>Tapon 3d set FlexiVox (negro)</v>
      </c>
      <c r="E435" s="39" t="s">
        <v>54</v>
      </c>
      <c r="F435" s="41">
        <v>490.0</v>
      </c>
    </row>
    <row r="436" ht="22.5" customHeight="1">
      <c r="B436" s="42"/>
      <c r="C436" s="38" t="s">
        <v>99</v>
      </c>
      <c r="D436" s="40" t="str">
        <f>Compras[Seleccion]</f>
        <v>Tapon 3d set FlexiVox (rojo)</v>
      </c>
      <c r="E436" s="39" t="s">
        <v>54</v>
      </c>
      <c r="F436" s="41">
        <v>132.0</v>
      </c>
    </row>
    <row r="437" ht="22.5" customHeight="1">
      <c r="B437" s="40" t="s">
        <v>175</v>
      </c>
      <c r="C437" s="38" t="s">
        <v>62</v>
      </c>
      <c r="D437" s="40" t="str">
        <f>Compras[Seleccion]</f>
        <v>Flyer Blister 1 euro</v>
      </c>
      <c r="E437" s="39" t="s">
        <v>54</v>
      </c>
      <c r="F437" s="41">
        <v>-2500.0</v>
      </c>
    </row>
    <row r="438" ht="22.5" customHeight="1">
      <c r="B438" s="40" t="s">
        <v>175</v>
      </c>
      <c r="C438" s="38" t="s">
        <v>60</v>
      </c>
      <c r="D438" s="40" t="str">
        <f>Compras[Seleccion]</f>
        <v>Flyer Blister 2 euro</v>
      </c>
      <c r="E438" s="39" t="s">
        <v>54</v>
      </c>
      <c r="F438" s="41">
        <v>-3800.0</v>
      </c>
    </row>
    <row r="439" ht="22.5" customHeight="1">
      <c r="B439" s="40" t="s">
        <v>193</v>
      </c>
      <c r="C439" s="38" t="s">
        <v>149</v>
      </c>
      <c r="D439" s="40" t="str">
        <f>Compras[Seleccion]</f>
        <v>Shrimps</v>
      </c>
      <c r="E439" s="39" t="s">
        <v>106</v>
      </c>
      <c r="F439" s="41">
        <v>80000.0</v>
      </c>
    </row>
    <row r="440" ht="22.5" customHeight="1">
      <c r="B440" s="40" t="s">
        <v>175</v>
      </c>
      <c r="C440" s="38" t="s">
        <v>58</v>
      </c>
      <c r="D440" s="40" t="str">
        <f>Compras[Seleccion]</f>
        <v>Bolsas Blister</v>
      </c>
      <c r="E440" s="39" t="s">
        <v>54</v>
      </c>
      <c r="F440" s="41">
        <v>-6000.0</v>
      </c>
    </row>
    <row r="441" ht="22.5" customHeight="1">
      <c r="B441" s="40" t="s">
        <v>194</v>
      </c>
      <c r="C441" s="38" t="s">
        <v>50</v>
      </c>
      <c r="D441" s="40" t="str">
        <f>Compras[Seleccion]</f>
        <v>Tarjetas valoraciones</v>
      </c>
      <c r="E441" s="39" t="s">
        <v>54</v>
      </c>
      <c r="F441" s="41">
        <v>-10000.0</v>
      </c>
    </row>
    <row r="442" ht="22.5" customHeight="1">
      <c r="B442" s="40" t="s">
        <v>193</v>
      </c>
      <c r="C442" s="38" t="s">
        <v>91</v>
      </c>
      <c r="D442" s="40" t="str">
        <f>Compras[Seleccion]</f>
        <v>Bolsas algodon FlexiVox</v>
      </c>
      <c r="E442" s="39" t="s">
        <v>54</v>
      </c>
      <c r="F442" s="41">
        <v>-600.0</v>
      </c>
    </row>
    <row r="443" ht="22.5" customHeight="1">
      <c r="B443" s="40" t="s">
        <v>193</v>
      </c>
      <c r="C443" s="38" t="s">
        <v>92</v>
      </c>
      <c r="D443" s="40" t="str">
        <f>Compras[Seleccion]</f>
        <v>Cepillos set FlexiVox</v>
      </c>
      <c r="E443" s="39" t="s">
        <v>54</v>
      </c>
      <c r="F443" s="41">
        <f>4000+3500+1500</f>
        <v>9000</v>
      </c>
    </row>
    <row r="444" ht="22.5" customHeight="1">
      <c r="B444" s="40" t="s">
        <v>193</v>
      </c>
      <c r="C444" s="38" t="s">
        <v>93</v>
      </c>
      <c r="D444" s="40" t="str">
        <f>Compras[Seleccion]</f>
        <v>Botella transparente FlexiVox</v>
      </c>
      <c r="E444" s="39" t="s">
        <v>54</v>
      </c>
      <c r="F444" s="41">
        <v>-1800.0</v>
      </c>
    </row>
    <row r="445" ht="22.5" customHeight="1">
      <c r="B445" s="40" t="s">
        <v>193</v>
      </c>
      <c r="C445" s="38" t="s">
        <v>101</v>
      </c>
      <c r="D445" s="40" t="str">
        <f>Compras[Seleccion]</f>
        <v>Botella negra FlexiVox</v>
      </c>
      <c r="E445" s="39" t="s">
        <v>54</v>
      </c>
      <c r="F445" s="41">
        <v>665.0</v>
      </c>
    </row>
    <row r="446" ht="22.5" customHeight="1">
      <c r="B446" s="40" t="s">
        <v>193</v>
      </c>
      <c r="C446" s="38" t="s">
        <v>98</v>
      </c>
      <c r="D446" s="40" t="str">
        <f>Compras[Seleccion]</f>
        <v>Botella roja FlexiVox</v>
      </c>
      <c r="E446" s="39" t="s">
        <v>54</v>
      </c>
      <c r="F446" s="41">
        <v>665.0</v>
      </c>
    </row>
    <row r="447" ht="22.5" customHeight="1">
      <c r="B447" s="40" t="s">
        <v>193</v>
      </c>
      <c r="C447" s="38" t="s">
        <v>12</v>
      </c>
      <c r="D447" s="40" t="str">
        <f>Compras[Seleccion]</f>
        <v>Calcio en polvo tortugas</v>
      </c>
      <c r="E447" s="39" t="s">
        <v>106</v>
      </c>
      <c r="F447" s="41">
        <v>236000.0</v>
      </c>
    </row>
    <row r="448" ht="22.5" customHeight="1">
      <c r="B448" s="42">
        <v>46086.0</v>
      </c>
      <c r="C448" s="38" t="s">
        <v>133</v>
      </c>
      <c r="D448" s="40" t="str">
        <f>Compras[Seleccion]</f>
        <v>Gusanos de la harina secos</v>
      </c>
      <c r="E448" s="39" t="s">
        <v>106</v>
      </c>
      <c r="F448" s="41">
        <v>1750000.0</v>
      </c>
    </row>
    <row r="449" ht="22.5" customHeight="1">
      <c r="B449" s="42"/>
      <c r="C449" s="43"/>
      <c r="D449" s="40" t="str">
        <f>Compras[Seleccion]</f>
        <v/>
      </c>
      <c r="E449" s="39" t="s">
        <v>52</v>
      </c>
      <c r="F449" s="41"/>
    </row>
    <row r="450" ht="22.5" customHeight="1">
      <c r="B450" s="42"/>
      <c r="C450" s="43"/>
      <c r="D450" s="40" t="str">
        <f>Compras[Seleccion]</f>
        <v/>
      </c>
      <c r="E450" s="39" t="s">
        <v>52</v>
      </c>
      <c r="F450" s="41"/>
    </row>
    <row r="451" ht="22.5" customHeight="1">
      <c r="B451" s="42"/>
      <c r="C451" s="43"/>
      <c r="D451" s="40" t="str">
        <f>Compras[Seleccion]</f>
        <v/>
      </c>
      <c r="E451" s="39" t="s">
        <v>52</v>
      </c>
      <c r="F451" s="41"/>
    </row>
    <row r="452" ht="22.5" customHeight="1">
      <c r="B452" s="42"/>
      <c r="C452" s="43"/>
      <c r="D452" s="40" t="str">
        <f>Compras[Seleccion]</f>
        <v/>
      </c>
      <c r="E452" s="39" t="s">
        <v>52</v>
      </c>
      <c r="F452" s="41"/>
    </row>
    <row r="453" ht="22.5" customHeight="1">
      <c r="B453" s="42"/>
      <c r="C453" s="43"/>
      <c r="D453" s="40" t="str">
        <f>Compras[Seleccion]</f>
        <v/>
      </c>
      <c r="E453" s="39" t="s">
        <v>52</v>
      </c>
      <c r="F453" s="41"/>
    </row>
    <row r="454" ht="22.5" customHeight="1">
      <c r="B454" s="42"/>
      <c r="C454" s="43"/>
      <c r="D454" s="40" t="str">
        <f>Compras[Seleccion]</f>
        <v/>
      </c>
      <c r="E454" s="39" t="s">
        <v>52</v>
      </c>
      <c r="F454" s="41"/>
    </row>
    <row r="455" ht="22.5" customHeight="1">
      <c r="B455" s="42"/>
      <c r="C455" s="43"/>
      <c r="D455" s="40" t="str">
        <f>Compras[Seleccion]</f>
        <v/>
      </c>
      <c r="E455" s="39" t="s">
        <v>52</v>
      </c>
      <c r="F455" s="41"/>
    </row>
    <row r="456" ht="22.5" customHeight="1">
      <c r="B456" s="42"/>
      <c r="C456" s="43"/>
      <c r="D456" s="40" t="str">
        <f>Compras[Seleccion]</f>
        <v/>
      </c>
      <c r="E456" s="39" t="s">
        <v>52</v>
      </c>
      <c r="F456" s="41"/>
    </row>
    <row r="457" ht="22.5" customHeight="1">
      <c r="B457" s="42"/>
      <c r="C457" s="43"/>
      <c r="D457" s="40" t="str">
        <f>Compras[Seleccion]</f>
        <v/>
      </c>
      <c r="E457" s="39" t="s">
        <v>52</v>
      </c>
      <c r="F457" s="41"/>
    </row>
    <row r="458" ht="22.5" customHeight="1">
      <c r="B458" s="42"/>
      <c r="C458" s="43"/>
      <c r="D458" s="40" t="str">
        <f>Compras[Seleccion]</f>
        <v/>
      </c>
      <c r="E458" s="39" t="s">
        <v>52</v>
      </c>
      <c r="F458" s="41"/>
    </row>
    <row r="459" ht="22.5" customHeight="1">
      <c r="B459" s="42"/>
      <c r="C459" s="43"/>
      <c r="D459" s="40" t="str">
        <f>Compras[Seleccion]</f>
        <v/>
      </c>
      <c r="E459" s="39" t="s">
        <v>52</v>
      </c>
      <c r="F459" s="41"/>
    </row>
    <row r="460" ht="22.5" customHeight="1">
      <c r="B460" s="42"/>
      <c r="C460" s="43"/>
      <c r="D460" s="40" t="str">
        <f>Compras[Seleccion]</f>
        <v/>
      </c>
      <c r="E460" s="39" t="s">
        <v>52</v>
      </c>
      <c r="F460" s="41"/>
    </row>
    <row r="461" ht="22.5" customHeight="1">
      <c r="B461" s="42"/>
      <c r="C461" s="43"/>
      <c r="D461" s="40" t="str">
        <f>Compras[Seleccion]</f>
        <v/>
      </c>
      <c r="E461" s="39" t="s">
        <v>52</v>
      </c>
      <c r="F461" s="41"/>
    </row>
    <row r="462" ht="22.5" customHeight="1">
      <c r="B462" s="42"/>
      <c r="C462" s="43"/>
      <c r="D462" s="40" t="str">
        <f>Compras[Seleccion]</f>
        <v/>
      </c>
      <c r="E462" s="39" t="s">
        <v>52</v>
      </c>
      <c r="F462" s="41"/>
    </row>
    <row r="463" ht="22.5" customHeight="1">
      <c r="B463" s="42"/>
      <c r="C463" s="43"/>
      <c r="D463" s="40" t="str">
        <f>Compras[Seleccion]</f>
        <v/>
      </c>
      <c r="E463" s="39" t="s">
        <v>52</v>
      </c>
      <c r="F463" s="41"/>
    </row>
    <row r="464" ht="22.5" customHeight="1">
      <c r="B464" s="42"/>
      <c r="C464" s="43"/>
      <c r="D464" s="40" t="str">
        <f>Compras[Seleccion]</f>
        <v/>
      </c>
      <c r="E464" s="39" t="s">
        <v>52</v>
      </c>
      <c r="F464" s="41"/>
    </row>
    <row r="465" ht="22.5" customHeight="1">
      <c r="B465" s="42"/>
      <c r="C465" s="43"/>
      <c r="D465" s="40" t="str">
        <f>Compras[Seleccion]</f>
        <v/>
      </c>
      <c r="E465" s="39" t="s">
        <v>52</v>
      </c>
      <c r="F465" s="41"/>
    </row>
    <row r="466" ht="22.5" customHeight="1">
      <c r="B466" s="42"/>
      <c r="C466" s="43"/>
      <c r="D466" s="40" t="str">
        <f>Compras[Seleccion]</f>
        <v/>
      </c>
      <c r="E466" s="39" t="s">
        <v>52</v>
      </c>
      <c r="F466" s="41"/>
    </row>
    <row r="467" ht="22.5" customHeight="1">
      <c r="B467" s="42"/>
      <c r="C467" s="43"/>
      <c r="D467" s="40" t="str">
        <f>Compras[Seleccion]</f>
        <v/>
      </c>
      <c r="E467" s="39" t="s">
        <v>52</v>
      </c>
      <c r="F467" s="41"/>
    </row>
  </sheetData>
  <conditionalFormatting sqref="C3">
    <cfRule type="notContainsBlanks" dxfId="5" priority="1">
      <formula>LEN(TRIM(C3))&gt;0</formula>
    </cfRule>
  </conditionalFormatting>
  <dataValidations>
    <dataValidation type="list" allowBlank="1" sqref="C3:C467">
      <formula1>"Tarjetas valoraciones,Calcio en pastillas tortugas,Packaging calcio 4,Packaging calcio 8,Packaging calcio 15,Bolsas Blister,Torre 125 Blister 2 euro,Torre 125 Blister 1 euro,Torre 125 Blister 50 cts,Torre 125 Blister 20 cts,Torre 125 Blister 10 cts,Torre "&amp;"125 Blister 5 cts,Torre 125 Blister 2 cts,Torre 125 Blister 1 cts,Pack Mix 200 blister,Pack Mix 400 blister,Flyer Blister 1 euro,Flyer Blister 2 euro,Peonza tradi (52mm),Peonza mini (48mm),Bolsas peonzas,Ceras peonzas,Arandela,Bolsa amarilla,Bolsa naranja"&amp;",Bolsa roja,Bolsa verde,Lapices Tynie,Lapices Girls,Bolsas algodon FlexiVox,Bolsas plastico FlexiVox,Bolsa zip FlexiVox (transparente),Bolsa zip FlexiVox (roja),Bolsa zip FlexiVox (negra),Cepillos set FlexiVox,Botella transparente FlexiVox,Botella negra F"&amp;"lexiVox,Botella roja FlexiVox,Cajas set FlexiVox (transparente),Cajas set FlexiVox (negro),Cajas set FlexiVox (rojo),Tapon 3d set FlexiVox (negro),Tapon 3d set FlexiVox (rojo),Manguera FlexiVox (transparente),Manguera FlexiVox (negra),Manguera FlexiVox (r"&amp;"oja),bolsa zip Menu Junior,Mast 45/7 - 3mm,Vaso medidor 10ml,Comida Gammarus,Shrimps,bolsa zip 75g Gammarus,bolsa zip 300g Gammarus,175g bolsa zip gusanos,300g bolsa zip gusanos,800g bolsa zip gusanos,Gusanos de la harina secos,Vaso medidor 50ml,Pegatina "&amp;"200 Mix blister,Calcio en polvo tortugas,Bolsas calcio en polvo,Vaso medidor calcio en polvo,Pegatina 400 Mix blister,Pegatina Pack 126 ceras,Pegatina Caja 50 pack 4 lapices,Pegatina Caja 25 pack 6 lapices,Larvas de mosca,1000g bolsa zip larva mosca,Fisch"&amp;"fit Karpfen 26/6 - 5mm,bolsa zip Menú Sticks"</formula1>
    </dataValidation>
    <dataValidation type="custom" allowBlank="1" showDropDown="1" sqref="B3:B467">
      <formula1>OR(NOT(ISERROR(DATEVALUE(B3))), AND(ISNUMBER(B3), LEFT(CELL("format", B3))="D"))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25"/>
    <col customWidth="1" min="3" max="3" width="11.0"/>
    <col customWidth="1" min="4" max="4" width="9.88"/>
    <col customWidth="1" min="5" max="5" width="9.63"/>
    <col customWidth="1" min="6" max="6" width="12.0"/>
    <col customWidth="1" min="7" max="7" width="10.88"/>
    <col customWidth="1" min="8" max="8" width="11.75"/>
    <col customWidth="1" min="9" max="9" width="8.63"/>
    <col customWidth="1" min="10" max="10" width="8.75"/>
    <col customWidth="1" min="11" max="11" width="8.63"/>
  </cols>
  <sheetData>
    <row r="1">
      <c r="H1" s="44"/>
    </row>
    <row r="2" ht="22.5" customHeight="1">
      <c r="B2" s="45" t="s">
        <v>195</v>
      </c>
      <c r="C2" s="45" t="s">
        <v>48</v>
      </c>
      <c r="D2" s="45" t="s">
        <v>196</v>
      </c>
      <c r="E2" s="10" t="s">
        <v>197</v>
      </c>
      <c r="F2" s="10" t="s">
        <v>198</v>
      </c>
      <c r="G2" s="10" t="s">
        <v>199</v>
      </c>
      <c r="H2" s="46" t="s">
        <v>200</v>
      </c>
      <c r="I2" s="46" t="s">
        <v>201</v>
      </c>
      <c r="J2" s="47" t="s">
        <v>202</v>
      </c>
      <c r="K2" s="47" t="s">
        <v>203</v>
      </c>
    </row>
    <row r="3" ht="22.5" customHeight="1">
      <c r="A3" s="48"/>
      <c r="B3" s="35" t="s">
        <v>50</v>
      </c>
      <c r="C3" s="35" t="s">
        <v>54</v>
      </c>
      <c r="D3" s="35">
        <v>1000.0</v>
      </c>
      <c r="E3" s="36">
        <f>Materia_Prima[Entradas]-Materia_Prima[Salidas]</f>
        <v>78127</v>
      </c>
      <c r="F3" s="36">
        <f t="array" ref="F3">SUMIFS(Compras[Cantidad],Compras[Materia Prima],Materia_Prima[Materia prima])</f>
        <v>131539</v>
      </c>
      <c r="G3" s="36">
        <f>IFERROR(__xludf.DUMMYFUNCTION("LET(FiltroProducto,FILTER(Recetas[Producto],Recetas[Materia Prima]=B3), FiltroCantidad,FILTER(Recetas[Cantidad],Recetas[Materia Prima]=B3),CantidadSalida,MAP(FiltroProducto,FiltroCantidad,LAMBDA(ePro,eCant,SUMPRODUCT((Ventas[Producto]=ePro)*1,Ventas[Canti"&amp;"dad])*eCant)),SUM(CantidadSalida))"),53412.0)</f>
        <v>53412</v>
      </c>
      <c r="H3" s="49">
        <v>1.7</v>
      </c>
      <c r="I3" s="40" t="s">
        <v>106</v>
      </c>
      <c r="J3" s="50"/>
      <c r="K3" s="50"/>
    </row>
    <row r="4" ht="22.5" customHeight="1">
      <c r="A4" s="51" t="s">
        <v>204</v>
      </c>
      <c r="B4" s="40" t="s">
        <v>55</v>
      </c>
      <c r="C4" s="40" t="s">
        <v>54</v>
      </c>
      <c r="D4" s="40"/>
      <c r="E4" s="39">
        <f>Materia_Prima[Entradas]-Materia_Prima[Salidas]</f>
        <v>47</v>
      </c>
      <c r="F4" s="39">
        <f t="array" ref="F4">SUMIFS(Compras[Cantidad],Compras[Materia Prima],Materia_Prima[Materia prima])</f>
        <v>24847</v>
      </c>
      <c r="G4" s="36">
        <f>IFERROR(__xludf.DUMMYFUNCTION("LET(FiltroProducto,FILTER(Recetas[Producto],Recetas[Materia Prima]=B4), FiltroCantidad,FILTER(Recetas[Cantidad],Recetas[Materia Prima]=B4),CantidadSalida,MAP(FiltroProducto,FiltroCantidad,LAMBDA(ePro,eCant,SUMPRODUCT((Ventas[Producto]=ePro)*1,Ventas[Canti"&amp;"dad])*eCant)),SUM(CantidadSalida))"),24800.0)</f>
        <v>24800</v>
      </c>
      <c r="H4" s="49">
        <v>10.0</v>
      </c>
      <c r="I4" s="40" t="s">
        <v>106</v>
      </c>
      <c r="J4" s="50"/>
      <c r="K4" s="50"/>
    </row>
    <row r="5" ht="22.5" customHeight="1">
      <c r="A5" s="52"/>
      <c r="B5" s="40" t="s">
        <v>53</v>
      </c>
      <c r="C5" s="40" t="s">
        <v>54</v>
      </c>
      <c r="D5" s="40"/>
      <c r="E5" s="39">
        <f>Materia_Prima[Entradas]-Materia_Prima[Salidas]</f>
        <v>46</v>
      </c>
      <c r="F5" s="39">
        <f t="array" ref="F5">SUMIFS(Compras[Cantidad],Compras[Materia Prima],Materia_Prima[Materia prima])</f>
        <v>1880</v>
      </c>
      <c r="G5" s="36">
        <f>IFERROR(__xludf.DUMMYFUNCTION("LET(FiltroProducto,FILTER(Recetas[Producto],Recetas[Materia Prima]=B5), FiltroCantidad,FILTER(Recetas[Cantidad],Recetas[Materia Prima]=B5),CantidadSalida,MAP(FiltroProducto,FiltroCantidad,LAMBDA(ePro,eCant,SUMPRODUCT((Ventas[Producto]=ePro)*1,Ventas[Canti"&amp;"dad])*eCant)),SUM(CantidadSalida))"),1834.0)</f>
        <v>1834</v>
      </c>
      <c r="H5" s="49">
        <v>9.8</v>
      </c>
      <c r="I5" s="40" t="s">
        <v>106</v>
      </c>
      <c r="J5" s="50"/>
      <c r="K5" s="50"/>
    </row>
    <row r="6" ht="22.5" customHeight="1">
      <c r="A6" s="52"/>
      <c r="B6" s="40" t="s">
        <v>56</v>
      </c>
      <c r="C6" s="40" t="s">
        <v>54</v>
      </c>
      <c r="D6" s="40"/>
      <c r="E6" s="39">
        <f>Materia_Prima[Entradas]-Materia_Prima[Salidas]</f>
        <v>57</v>
      </c>
      <c r="F6" s="39">
        <f t="array" ref="F6">SUMIFS(Compras[Cantidad],Compras[Materia Prima],Materia_Prima[Materia prima])</f>
        <v>1025</v>
      </c>
      <c r="G6" s="36">
        <f>IFERROR(__xludf.DUMMYFUNCTION("LET(FiltroProducto,FILTER(Recetas[Producto],Recetas[Materia Prima]=B6), FiltroCantidad,FILTER(Recetas[Cantidad],Recetas[Materia Prima]=B6),CantidadSalida,MAP(FiltroProducto,FiltroCantidad,LAMBDA(ePro,eCant,SUMPRODUCT((Ventas[Producto]=ePro)*1,Ventas[Canti"&amp;"dad])*eCant)),SUM(CantidadSalida))"),968.0)</f>
        <v>968</v>
      </c>
      <c r="H6" s="49">
        <v>19.8</v>
      </c>
      <c r="I6" s="40" t="s">
        <v>106</v>
      </c>
      <c r="J6" s="50"/>
      <c r="K6" s="50"/>
    </row>
    <row r="7" ht="22.5" customHeight="1">
      <c r="A7" s="52"/>
      <c r="B7" s="40" t="s">
        <v>57</v>
      </c>
      <c r="C7" s="40" t="s">
        <v>54</v>
      </c>
      <c r="D7" s="40"/>
      <c r="E7" s="39">
        <f>Materia_Prima[Entradas]-Materia_Prima[Salidas]</f>
        <v>32</v>
      </c>
      <c r="F7" s="39">
        <f t="array" ref="F7">SUMIFS(Compras[Cantidad],Compras[Materia Prima],Materia_Prima[Materia prima])</f>
        <v>680</v>
      </c>
      <c r="G7" s="36">
        <f>IFERROR(__xludf.DUMMYFUNCTION("LET(FiltroProducto,FILTER(Recetas[Producto],Recetas[Materia Prima]=B7), FiltroCantidad,FILTER(Recetas[Cantidad],Recetas[Materia Prima]=B7),CantidadSalida,MAP(FiltroProducto,FiltroCantidad,LAMBDA(ePro,eCant,SUMPRODUCT((Ventas[Producto]=ePro)*1,Ventas[Canti"&amp;"dad])*eCant)),SUM(CantidadSalida))"),648.0)</f>
        <v>648</v>
      </c>
      <c r="H7" s="49">
        <v>37.7</v>
      </c>
      <c r="I7" s="40" t="s">
        <v>106</v>
      </c>
      <c r="J7" s="50"/>
      <c r="K7" s="50"/>
    </row>
    <row r="8" ht="22.5" customHeight="1">
      <c r="B8" s="40"/>
      <c r="C8" s="40"/>
      <c r="D8" s="40"/>
      <c r="E8" s="39" t="str">
        <f>Materia_Prima[Entradas]-Materia_Prima[Salidas]</f>
        <v>#N/A</v>
      </c>
      <c r="F8" s="39">
        <f t="array" ref="F8">SUMIFS(Compras[Cantidad],Compras[Materia Prima],Materia_Prima[Materia prima])</f>
        <v>0</v>
      </c>
      <c r="G8" s="36" t="str">
        <f>IFERROR(__xludf.DUMMYFUNCTION("LET(FiltroProducto,FILTER(Recetas[Producto],Recetas[Materia Prima]=B8), FiltroCantidad,FILTER(Recetas[Cantidad],Recetas[Materia Prima]=B8),CantidadSalida,MAP(FiltroProducto,FiltroCantidad,LAMBDA(ePro,eCant,SUMPRODUCT((Ventas[Producto]=ePro)*1,Ventas[Canti"&amp;"dad])*eCant)),SUM(CantidadSalida))"),"#N/A")</f>
        <v>#N/A</v>
      </c>
      <c r="H8" s="49"/>
      <c r="I8" s="40"/>
      <c r="J8" s="50"/>
      <c r="K8" s="50"/>
    </row>
    <row r="9" ht="22.5" customHeight="1">
      <c r="A9" s="53" t="s">
        <v>205</v>
      </c>
      <c r="B9" s="40" t="s">
        <v>58</v>
      </c>
      <c r="C9" s="40" t="s">
        <v>54</v>
      </c>
      <c r="D9" s="40"/>
      <c r="E9" s="39">
        <f>Materia_Prima[Entradas]-Materia_Prima[Salidas]</f>
        <v>71</v>
      </c>
      <c r="F9" s="39">
        <f t="array" ref="F9">SUMIFS(Compras[Cantidad],Compras[Materia Prima],Materia_Prima[Materia prima])</f>
        <v>11214</v>
      </c>
      <c r="G9" s="36">
        <f>IFERROR(__xludf.DUMMYFUNCTION("LET(FiltroProducto,FILTER(Recetas[Producto],Recetas[Materia Prima]=B9), FiltroCantidad,FILTER(Recetas[Cantidad],Recetas[Materia Prima]=B9),CantidadSalida,MAP(FiltroProducto,FiltroCantidad,LAMBDA(ePro,eCant,SUMPRODUCT((Ventas[Producto]=ePro)*1,Ventas[Canti"&amp;"dad])*eCant)),SUM(CantidadSalida))"),11143.0)</f>
        <v>11143</v>
      </c>
      <c r="H9" s="54"/>
      <c r="I9" s="40" t="s">
        <v>106</v>
      </c>
      <c r="J9" s="50"/>
      <c r="K9" s="50"/>
    </row>
    <row r="10" ht="22.5" customHeight="1">
      <c r="A10" s="55"/>
      <c r="B10" s="40" t="s">
        <v>61</v>
      </c>
      <c r="C10" s="11" t="s">
        <v>54</v>
      </c>
      <c r="D10" s="40"/>
      <c r="E10" s="39">
        <f>Materia_Prima[Entradas]-Materia_Prima[Salidas]</f>
        <v>55</v>
      </c>
      <c r="F10" s="39">
        <f t="array" ref="F10">SUMIFS(Compras[Cantidad],Compras[Materia Prima],Materia_Prima[Materia prima])</f>
        <v>5016</v>
      </c>
      <c r="G10" s="36">
        <f>IFERROR(__xludf.DUMMYFUNCTION("LET(FiltroProducto,FILTER(Recetas[Producto],Recetas[Materia Prima]=B10), FiltroCantidad,FILTER(Recetas[Cantidad],Recetas[Materia Prima]=B10),CantidadSalida,MAP(FiltroProducto,FiltroCantidad,LAMBDA(ePro,eCant,SUMPRODUCT((Ventas[Producto]=ePro)*1,Ventas[Can"&amp;"tidad])*eCant)),SUM(CantidadSalida))"),4961.0)</f>
        <v>4961</v>
      </c>
      <c r="H10" s="54"/>
      <c r="I10" s="40" t="s">
        <v>106</v>
      </c>
      <c r="J10" s="50"/>
      <c r="K10" s="50"/>
    </row>
    <row r="11" ht="22.5" customHeight="1">
      <c r="A11" s="55"/>
      <c r="B11" s="40" t="s">
        <v>63</v>
      </c>
      <c r="C11" s="40" t="s">
        <v>54</v>
      </c>
      <c r="D11" s="40"/>
      <c r="E11" s="39">
        <f>Materia_Prima[Entradas]-Materia_Prima[Salidas]</f>
        <v>0</v>
      </c>
      <c r="F11" s="39">
        <f t="array" ref="F11">SUMIFS(Compras[Cantidad],Compras[Materia Prima],Materia_Prima[Materia prima])</f>
        <v>6332</v>
      </c>
      <c r="G11" s="36">
        <f>IFERROR(__xludf.DUMMYFUNCTION("LET(FiltroProducto,FILTER(Recetas[Producto],Recetas[Materia Prima]=B11), FiltroCantidad,FILTER(Recetas[Cantidad],Recetas[Materia Prima]=B11),CantidadSalida,MAP(FiltroProducto,FiltroCantidad,LAMBDA(ePro,eCant,SUMPRODUCT((Ventas[Producto]=ePro)*1,Ventas[Can"&amp;"tidad])*eCant)),SUM(CantidadSalida))"),6332.0)</f>
        <v>6332</v>
      </c>
      <c r="H11" s="54"/>
      <c r="I11" s="40" t="s">
        <v>106</v>
      </c>
      <c r="J11" s="50"/>
      <c r="K11" s="50"/>
    </row>
    <row r="12" ht="22.5" customHeight="1">
      <c r="A12" s="55"/>
      <c r="B12" s="40" t="s">
        <v>65</v>
      </c>
      <c r="C12" s="40" t="s">
        <v>54</v>
      </c>
      <c r="D12" s="40"/>
      <c r="E12" s="39">
        <f>Materia_Prima[Entradas]-Materia_Prima[Salidas]</f>
        <v>0</v>
      </c>
      <c r="F12" s="39">
        <f t="array" ref="F12">SUMIFS(Compras[Cantidad],Compras[Materia Prima],Materia_Prima[Materia prima])</f>
        <v>969</v>
      </c>
      <c r="G12" s="36">
        <f>IFERROR(__xludf.DUMMYFUNCTION("LET(FiltroProducto,FILTER(Recetas[Producto],Recetas[Materia Prima]=B12), FiltroCantidad,FILTER(Recetas[Cantidad],Recetas[Materia Prima]=B12),CantidadSalida,MAP(FiltroProducto,FiltroCantidad,LAMBDA(ePro,eCant,SUMPRODUCT((Ventas[Producto]=ePro)*1,Ventas[Can"&amp;"tidad])*eCant)),SUM(CantidadSalida))"),969.0)</f>
        <v>969</v>
      </c>
      <c r="H12" s="54"/>
      <c r="I12" s="40" t="s">
        <v>106</v>
      </c>
      <c r="J12" s="50"/>
      <c r="K12" s="50"/>
    </row>
    <row r="13" ht="22.5" customHeight="1">
      <c r="A13" s="55"/>
      <c r="B13" s="40" t="s">
        <v>66</v>
      </c>
      <c r="C13" s="40" t="s">
        <v>54</v>
      </c>
      <c r="D13" s="40"/>
      <c r="E13" s="39">
        <f>Materia_Prima[Entradas]-Materia_Prima[Salidas]</f>
        <v>10</v>
      </c>
      <c r="F13" s="39">
        <f t="array" ref="F13">SUMIFS(Compras[Cantidad],Compras[Materia Prima],Materia_Prima[Materia prima])</f>
        <v>1056</v>
      </c>
      <c r="G13" s="36">
        <f>IFERROR(__xludf.DUMMYFUNCTION("LET(FiltroProducto,FILTER(Recetas[Producto],Recetas[Materia Prima]=B13), FiltroCantidad,FILTER(Recetas[Cantidad],Recetas[Materia Prima]=B13),CantidadSalida,MAP(FiltroProducto,FiltroCantidad,LAMBDA(ePro,eCant,SUMPRODUCT((Ventas[Producto]=ePro)*1,Ventas[Can"&amp;"tidad])*eCant)),SUM(CantidadSalida))"),1046.0)</f>
        <v>1046</v>
      </c>
      <c r="H13" s="54"/>
      <c r="I13" s="40" t="s">
        <v>106</v>
      </c>
      <c r="J13" s="50"/>
      <c r="K13" s="50"/>
    </row>
    <row r="14" ht="22.5" customHeight="1">
      <c r="A14" s="55"/>
      <c r="B14" s="40" t="s">
        <v>67</v>
      </c>
      <c r="C14" s="40" t="s">
        <v>54</v>
      </c>
      <c r="D14" s="40"/>
      <c r="E14" s="39">
        <f>Materia_Prima[Entradas]-Materia_Prima[Salidas]</f>
        <v>0</v>
      </c>
      <c r="F14" s="39">
        <f t="array" ref="F14">SUMIFS(Compras[Cantidad],Compras[Materia Prima],Materia_Prima[Materia prima])</f>
        <v>849</v>
      </c>
      <c r="G14" s="36">
        <f>IFERROR(__xludf.DUMMYFUNCTION("LET(FiltroProducto,FILTER(Recetas[Producto],Recetas[Materia Prima]=B14), FiltroCantidad,FILTER(Recetas[Cantidad],Recetas[Materia Prima]=B14),CantidadSalida,MAP(FiltroProducto,FiltroCantidad,LAMBDA(ePro,eCant,SUMPRODUCT((Ventas[Producto]=ePro)*1,Ventas[Can"&amp;"tidad])*eCant)),SUM(CantidadSalida))"),849.0)</f>
        <v>849</v>
      </c>
      <c r="H14" s="54"/>
      <c r="I14" s="40" t="s">
        <v>106</v>
      </c>
      <c r="J14" s="50"/>
      <c r="K14" s="50"/>
    </row>
    <row r="15" ht="22.5" customHeight="1">
      <c r="A15" s="55"/>
      <c r="B15" s="40" t="s">
        <v>68</v>
      </c>
      <c r="C15" s="40" t="s">
        <v>54</v>
      </c>
      <c r="D15" s="40"/>
      <c r="E15" s="39">
        <f>Materia_Prima[Entradas]-Materia_Prima[Salidas]</f>
        <v>0</v>
      </c>
      <c r="F15" s="39">
        <f t="array" ref="F15">SUMIFS(Compras[Cantidad],Compras[Materia Prima],Materia_Prima[Materia prima])</f>
        <v>260</v>
      </c>
      <c r="G15" s="36">
        <f>IFERROR(__xludf.DUMMYFUNCTION("LET(FiltroProducto,FILTER(Recetas[Producto],Recetas[Materia Prima]=B15), FiltroCantidad,FILTER(Recetas[Cantidad],Recetas[Materia Prima]=B15),CantidadSalida,MAP(FiltroProducto,FiltroCantidad,LAMBDA(ePro,eCant,SUMPRODUCT((Ventas[Producto]=ePro)*1,Ventas[Can"&amp;"tidad])*eCant)),SUM(CantidadSalida))"),260.0)</f>
        <v>260</v>
      </c>
      <c r="H15" s="54"/>
      <c r="I15" s="40" t="s">
        <v>106</v>
      </c>
      <c r="J15" s="50"/>
      <c r="K15" s="50"/>
    </row>
    <row r="16" ht="22.5" customHeight="1">
      <c r="A16" s="55"/>
      <c r="B16" s="40" t="s">
        <v>69</v>
      </c>
      <c r="C16" s="40" t="s">
        <v>54</v>
      </c>
      <c r="D16" s="40"/>
      <c r="E16" s="39">
        <f>Materia_Prima[Entradas]-Materia_Prima[Salidas]</f>
        <v>0</v>
      </c>
      <c r="F16" s="39">
        <f t="array" ref="F16">SUMIFS(Compras[Cantidad],Compras[Materia Prima],Materia_Prima[Materia prima])</f>
        <v>380</v>
      </c>
      <c r="G16" s="36">
        <f>IFERROR(__xludf.DUMMYFUNCTION("LET(FiltroProducto,FILTER(Recetas[Producto],Recetas[Materia Prima]=B16), FiltroCantidad,FILTER(Recetas[Cantidad],Recetas[Materia Prima]=B16),CantidadSalida,MAP(FiltroProducto,FiltroCantidad,LAMBDA(ePro,eCant,SUMPRODUCT((Ventas[Producto]=ePro)*1,Ventas[Can"&amp;"tidad])*eCant)),SUM(CantidadSalida))"),380.0)</f>
        <v>380</v>
      </c>
      <c r="H16" s="54"/>
      <c r="I16" s="40" t="s">
        <v>106</v>
      </c>
      <c r="J16" s="50"/>
      <c r="K16" s="50"/>
    </row>
    <row r="17" ht="22.5" customHeight="1">
      <c r="A17" s="55"/>
      <c r="B17" s="40" t="s">
        <v>70</v>
      </c>
      <c r="C17" s="40" t="s">
        <v>54</v>
      </c>
      <c r="D17" s="40"/>
      <c r="E17" s="39">
        <f>Materia_Prima[Entradas]-Materia_Prima[Salidas]</f>
        <v>0</v>
      </c>
      <c r="F17" s="39">
        <f t="array" ref="F17">SUMIFS(Compras[Cantidad],Compras[Materia Prima],Materia_Prima[Materia prima])</f>
        <v>192</v>
      </c>
      <c r="G17" s="36">
        <f>IFERROR(__xludf.DUMMYFUNCTION("LET(FiltroProducto,FILTER(Recetas[Producto],Recetas[Materia Prima]=B17), FiltroCantidad,FILTER(Recetas[Cantidad],Recetas[Materia Prima]=B17),CantidadSalida,MAP(FiltroProducto,FiltroCantidad,LAMBDA(ePro,eCant,SUMPRODUCT((Ventas[Producto]=ePro)*1,Ventas[Can"&amp;"tidad])*eCant)),SUM(CantidadSalida))"),192.0)</f>
        <v>192</v>
      </c>
      <c r="H17" s="54"/>
      <c r="I17" s="40" t="s">
        <v>106</v>
      </c>
      <c r="J17" s="50"/>
      <c r="K17" s="50"/>
    </row>
    <row r="18" ht="22.5" customHeight="1">
      <c r="A18" s="55"/>
      <c r="B18" s="40" t="s">
        <v>73</v>
      </c>
      <c r="C18" s="40" t="s">
        <v>54</v>
      </c>
      <c r="D18" s="40"/>
      <c r="E18" s="39">
        <f>Materia_Prima[Entradas]-Materia_Prima[Salidas]</f>
        <v>0</v>
      </c>
      <c r="F18" s="39">
        <f t="array" ref="F18">SUMIFS(Compras[Cantidad],Compras[Materia Prima],Materia_Prima[Materia prima])</f>
        <v>2520</v>
      </c>
      <c r="G18" s="36">
        <f>IFERROR(__xludf.DUMMYFUNCTION("LET(FiltroProducto,FILTER(Recetas[Producto],Recetas[Materia Prima]=B18), FiltroCantidad,FILTER(Recetas[Cantidad],Recetas[Materia Prima]=B18),CantidadSalida,MAP(FiltroProducto,FiltroCantidad,LAMBDA(ePro,eCant,SUMPRODUCT((Ventas[Producto]=ePro)*1,Ventas[Can"&amp;"tidad])*eCant)),SUM(CantidadSalida))"),2520.0)</f>
        <v>2520</v>
      </c>
      <c r="H18" s="54"/>
      <c r="I18" s="40" t="s">
        <v>106</v>
      </c>
      <c r="J18" s="50"/>
      <c r="K18" s="50"/>
    </row>
    <row r="19" ht="22.5" customHeight="1">
      <c r="A19" s="55"/>
      <c r="B19" s="40" t="s">
        <v>72</v>
      </c>
      <c r="C19" s="40" t="s">
        <v>54</v>
      </c>
      <c r="D19" s="40"/>
      <c r="E19" s="39">
        <f>Materia_Prima[Entradas]-Materia_Prima[Salidas]</f>
        <v>52</v>
      </c>
      <c r="F19" s="39">
        <f t="array" ref="F19">SUMIFS(Compras[Cantidad],Compras[Materia Prima],Materia_Prima[Materia prima])</f>
        <v>2572</v>
      </c>
      <c r="G19" s="36">
        <f>IFERROR(__xludf.DUMMYFUNCTION("LET(FiltroProducto,FILTER(Recetas[Producto],Recetas[Materia Prima]=B19), FiltroCantidad,FILTER(Recetas[Cantidad],Recetas[Materia Prima]=B19),CantidadSalida,MAP(FiltroProducto,FiltroCantidad,LAMBDA(ePro,eCant,SUMPRODUCT((Ventas[Producto]=ePro)*1,Ventas[Can"&amp;"tidad])*eCant)),SUM(CantidadSalida))"),2520.0)</f>
        <v>2520</v>
      </c>
      <c r="H19" s="54"/>
      <c r="I19" s="40"/>
      <c r="J19" s="50"/>
      <c r="K19" s="50"/>
    </row>
    <row r="20" ht="22.5" customHeight="1">
      <c r="A20" s="55"/>
      <c r="B20" s="40" t="s">
        <v>117</v>
      </c>
      <c r="C20" s="40" t="s">
        <v>54</v>
      </c>
      <c r="D20" s="40"/>
      <c r="E20" s="39">
        <f>Materia_Prima[Entradas]-Materia_Prima[Salidas]</f>
        <v>0</v>
      </c>
      <c r="F20" s="39">
        <f t="array" ref="F20">SUMIFS(Compras[Cantidad],Compras[Materia Prima],Materia_Prima[Materia prima])</f>
        <v>623</v>
      </c>
      <c r="G20" s="36">
        <f>IFERROR(__xludf.DUMMYFUNCTION("LET(FiltroProducto,FILTER(Recetas[Producto],Recetas[Materia Prima]=B20), FiltroCantidad,FILTER(Recetas[Cantidad],Recetas[Materia Prima]=B20),CantidadSalida,MAP(FiltroProducto,FiltroCantidad,LAMBDA(ePro,eCant,SUMPRODUCT((Ventas[Producto]=ePro)*1,Ventas[Can"&amp;"tidad])*eCant)),SUM(CantidadSalida))"),623.0)</f>
        <v>623</v>
      </c>
      <c r="H20" s="54"/>
      <c r="I20" s="40" t="s">
        <v>106</v>
      </c>
      <c r="J20" s="50"/>
      <c r="K20" s="50"/>
    </row>
    <row r="21" ht="22.5" customHeight="1">
      <c r="A21" s="55"/>
      <c r="B21" s="40" t="s">
        <v>116</v>
      </c>
      <c r="C21" s="40" t="s">
        <v>54</v>
      </c>
      <c r="D21" s="40"/>
      <c r="E21" s="39">
        <f>Materia_Prima[Entradas]-Materia_Prima[Salidas]</f>
        <v>0</v>
      </c>
      <c r="F21" s="39">
        <f t="array" ref="F21">SUMIFS(Compras[Cantidad],Compras[Materia Prima],Materia_Prima[Materia prima])</f>
        <v>623</v>
      </c>
      <c r="G21" s="36">
        <f>IFERROR(__xludf.DUMMYFUNCTION("LET(FiltroProducto,FILTER(Recetas[Producto],Recetas[Materia Prima]=B21), FiltroCantidad,FILTER(Recetas[Cantidad],Recetas[Materia Prima]=B21),CantidadSalida,MAP(FiltroProducto,FiltroCantidad,LAMBDA(ePro,eCant,SUMPRODUCT((Ventas[Producto]=ePro)*1,Ventas[Can"&amp;"tidad])*eCant)),SUM(CantidadSalida))"),623.0)</f>
        <v>623</v>
      </c>
      <c r="H21" s="54"/>
      <c r="I21" s="40"/>
      <c r="J21" s="50"/>
      <c r="K21" s="50"/>
    </row>
    <row r="22" ht="22.5" customHeight="1">
      <c r="A22" s="55"/>
      <c r="B22" s="40" t="s">
        <v>62</v>
      </c>
      <c r="C22" s="40" t="s">
        <v>54</v>
      </c>
      <c r="D22" s="40"/>
      <c r="E22" s="39">
        <f>Materia_Prima[Entradas]-Materia_Prima[Salidas]</f>
        <v>10</v>
      </c>
      <c r="F22" s="39">
        <f t="array" ref="F22">SUMIFS(Compras[Cantidad],Compras[Materia Prima],Materia_Prima[Materia prima])</f>
        <v>7908</v>
      </c>
      <c r="G22" s="36">
        <f>IFERROR(__xludf.DUMMYFUNCTION("LET(FiltroProducto,FILTER(Recetas[Producto],Recetas[Materia Prima]=B22), FiltroCantidad,FILTER(Recetas[Cantidad],Recetas[Materia Prima]=B22),CantidadSalida,MAP(FiltroProducto,FiltroCantidad,LAMBDA(ePro,eCant,SUMPRODUCT((Ventas[Producto]=ePro)*1,Ventas[Can"&amp;"tidad])*eCant)),SUM(CantidadSalida))"),7898.0)</f>
        <v>7898</v>
      </c>
      <c r="H22" s="49">
        <v>2.9</v>
      </c>
      <c r="I22" s="40" t="s">
        <v>106</v>
      </c>
      <c r="J22" s="50"/>
      <c r="K22" s="50"/>
    </row>
    <row r="23" ht="22.5" customHeight="1">
      <c r="A23" s="55"/>
      <c r="B23" s="40" t="s">
        <v>60</v>
      </c>
      <c r="C23" s="40" t="s">
        <v>54</v>
      </c>
      <c r="D23" s="40"/>
      <c r="E23" s="39">
        <f>Materia_Prima[Entradas]-Materia_Prima[Salidas]</f>
        <v>57</v>
      </c>
      <c r="F23" s="39">
        <f t="array" ref="F23">SUMIFS(Compras[Cantidad],Compras[Materia Prima],Materia_Prima[Materia prima])</f>
        <v>3302</v>
      </c>
      <c r="G23" s="36">
        <f>IFERROR(__xludf.DUMMYFUNCTION("LET(FiltroProducto,FILTER(Recetas[Producto],Recetas[Materia Prima]=B23), FiltroCantidad,FILTER(Recetas[Cantidad],Recetas[Materia Prima]=B23),CantidadSalida,MAP(FiltroProducto,FiltroCantidad,LAMBDA(ePro,eCant,SUMPRODUCT((Ventas[Producto]=ePro)*1,Ventas[Can"&amp;"tidad])*eCant)),SUM(CantidadSalida))"),3245.0)</f>
        <v>3245</v>
      </c>
      <c r="H23" s="49">
        <v>2.9</v>
      </c>
      <c r="I23" s="40" t="s">
        <v>106</v>
      </c>
      <c r="J23" s="50"/>
      <c r="K23" s="50"/>
    </row>
    <row r="24" ht="22.5" customHeight="1">
      <c r="B24" s="40"/>
      <c r="C24" s="40"/>
      <c r="D24" s="40"/>
      <c r="E24" s="39" t="str">
        <f>Materia_Prima[Entradas]-Materia_Prima[Salidas]</f>
        <v>#N/A</v>
      </c>
      <c r="F24" s="39">
        <f t="array" ref="F24">SUMIFS(Compras[Cantidad],Compras[Materia Prima],Materia_Prima[Materia prima])</f>
        <v>0</v>
      </c>
      <c r="G24" s="36" t="str">
        <f>IFERROR(__xludf.DUMMYFUNCTION("LET(FiltroProducto,FILTER(Recetas[Producto],Recetas[Materia Prima]=B24), FiltroCantidad,FILTER(Recetas[Cantidad],Recetas[Materia Prima]=B24),CantidadSalida,MAP(FiltroProducto,FiltroCantidad,LAMBDA(ePro,eCant,SUMPRODUCT((Ventas[Producto]=ePro)*1,Ventas[Can"&amp;"tidad])*eCant)),SUM(CantidadSalida))"),"#N/A")</f>
        <v>#N/A</v>
      </c>
      <c r="H24" s="49"/>
      <c r="I24" s="40"/>
      <c r="J24" s="50"/>
      <c r="K24" s="50"/>
    </row>
    <row r="25" ht="22.5" customHeight="1">
      <c r="A25" s="56" t="s">
        <v>206</v>
      </c>
      <c r="B25" s="40" t="s">
        <v>77</v>
      </c>
      <c r="C25" s="40" t="s">
        <v>54</v>
      </c>
      <c r="D25" s="40"/>
      <c r="E25" s="39">
        <f>Materia_Prima[Entradas]-Materia_Prima[Salidas]</f>
        <v>0</v>
      </c>
      <c r="F25" s="39">
        <f t="array" ref="F25">SUMIFS(Compras[Cantidad],Compras[Materia Prima],Materia_Prima[Materia prima])</f>
        <v>6574</v>
      </c>
      <c r="G25" s="36">
        <f>IFERROR(__xludf.DUMMYFUNCTION("LET(FiltroProducto,FILTER(Recetas[Producto],Recetas[Materia Prima]=B25), FiltroCantidad,FILTER(Recetas[Cantidad],Recetas[Materia Prima]=B25),CantidadSalida,MAP(FiltroProducto,FiltroCantidad,LAMBDA(ePro,eCant,SUMPRODUCT((Ventas[Producto]=ePro)*1,Ventas[Can"&amp;"tidad])*eCant)),SUM(CantidadSalida))"),6574.0)</f>
        <v>6574</v>
      </c>
      <c r="H25" s="49">
        <v>75.0</v>
      </c>
      <c r="I25" s="40" t="s">
        <v>106</v>
      </c>
      <c r="J25" s="50"/>
      <c r="K25" s="50"/>
    </row>
    <row r="26" ht="22.5" customHeight="1">
      <c r="A26" s="57"/>
      <c r="B26" s="40" t="s">
        <v>82</v>
      </c>
      <c r="C26" s="40" t="s">
        <v>54</v>
      </c>
      <c r="D26" s="40"/>
      <c r="E26" s="39">
        <f>Materia_Prima[Entradas]-Materia_Prima[Salidas]</f>
        <v>0</v>
      </c>
      <c r="F26" s="39">
        <f t="array" ref="F26">SUMIFS(Compras[Cantidad],Compras[Materia Prima],Materia_Prima[Materia prima])</f>
        <v>3345</v>
      </c>
      <c r="G26" s="36">
        <f>IFERROR(__xludf.DUMMYFUNCTION("LET(FiltroProducto,FILTER(Recetas[Producto],Recetas[Materia Prima]=B26), FiltroCantidad,FILTER(Recetas[Cantidad],Recetas[Materia Prima]=B26),CantidadSalida,MAP(FiltroProducto,FiltroCantidad,LAMBDA(ePro,eCant,SUMPRODUCT((Ventas[Producto]=ePro)*1,Ventas[Can"&amp;"tidad])*eCant)),SUM(CantidadSalida))"),3345.0)</f>
        <v>3345</v>
      </c>
      <c r="H26" s="49">
        <v>48.0</v>
      </c>
      <c r="I26" s="40" t="s">
        <v>106</v>
      </c>
      <c r="J26" s="50"/>
      <c r="K26" s="50"/>
    </row>
    <row r="27" ht="22.5" customHeight="1">
      <c r="A27" s="57"/>
      <c r="B27" s="40" t="s">
        <v>79</v>
      </c>
      <c r="C27" s="40" t="s">
        <v>54</v>
      </c>
      <c r="D27" s="40"/>
      <c r="E27" s="39">
        <f>Materia_Prima[Entradas]-Materia_Prima[Salidas]</f>
        <v>52</v>
      </c>
      <c r="F27" s="39">
        <f t="array" ref="F27">SUMIFS(Compras[Cantidad],Compras[Materia Prima],Materia_Prima[Materia prima])</f>
        <v>4454</v>
      </c>
      <c r="G27" s="36">
        <f>IFERROR(__xludf.DUMMYFUNCTION("LET(FiltroProducto,FILTER(Recetas[Producto],Recetas[Materia Prima]=B27), FiltroCantidad,FILTER(Recetas[Cantidad],Recetas[Materia Prima]=B27),CantidadSalida,MAP(FiltroProducto,FiltroCantidad,LAMBDA(ePro,eCant,SUMPRODUCT((Ventas[Producto]=ePro)*1,Ventas[Can"&amp;"tidad])*eCant)),SUM(CantidadSalida))"),4402.0)</f>
        <v>4402</v>
      </c>
      <c r="H27" s="49">
        <v>2.1</v>
      </c>
      <c r="I27" s="40" t="s">
        <v>106</v>
      </c>
      <c r="J27" s="50"/>
      <c r="K27" s="50"/>
    </row>
    <row r="28" ht="22.5" customHeight="1">
      <c r="A28" s="57"/>
      <c r="B28" s="40" t="s">
        <v>74</v>
      </c>
      <c r="C28" s="40" t="s">
        <v>54</v>
      </c>
      <c r="D28" s="40"/>
      <c r="E28" s="39">
        <f>Materia_Prima[Entradas]-Materia_Prima[Salidas]</f>
        <v>0</v>
      </c>
      <c r="F28" s="39">
        <f t="array" ref="F28">SUMIFS(Compras[Cantidad],Compras[Materia Prima],Materia_Prima[Materia prima])</f>
        <v>3287</v>
      </c>
      <c r="G28" s="36">
        <f>IFERROR(__xludf.DUMMYFUNCTION("LET(FiltroProducto,FILTER(Recetas[Producto],Recetas[Materia Prima]=B28), FiltroCantidad,FILTER(Recetas[Cantidad],Recetas[Materia Prima]=B28),CantidadSalida,MAP(FiltroProducto,FiltroCantidad,LAMBDA(ePro,eCant,SUMPRODUCT((Ventas[Producto]=ePro)*1,Ventas[Can"&amp;"tidad])*eCant)),SUM(CantidadSalida))"),3287.0)</f>
        <v>3287</v>
      </c>
      <c r="H28" s="49">
        <v>4.15</v>
      </c>
      <c r="I28" s="40" t="s">
        <v>106</v>
      </c>
      <c r="J28" s="50"/>
      <c r="K28" s="50"/>
    </row>
    <row r="29" ht="22.5" customHeight="1">
      <c r="A29" s="57"/>
      <c r="B29" s="40" t="s">
        <v>75</v>
      </c>
      <c r="C29" s="40" t="s">
        <v>54</v>
      </c>
      <c r="D29" s="40"/>
      <c r="E29" s="39">
        <f>Materia_Prima[Entradas]-Materia_Prima[Salidas]</f>
        <v>0</v>
      </c>
      <c r="F29" s="39">
        <f t="array" ref="F29">SUMIFS(Compras[Cantidad],Compras[Materia Prima],Materia_Prima[Materia prima])</f>
        <v>4402</v>
      </c>
      <c r="G29" s="36">
        <f>IFERROR(__xludf.DUMMYFUNCTION("LET(FiltroProducto,FILTER(Recetas[Producto],Recetas[Materia Prima]=B29), FiltroCantidad,FILTER(Recetas[Cantidad],Recetas[Materia Prima]=B29),CantidadSalida,MAP(FiltroProducto,FiltroCantidad,LAMBDA(ePro,eCant,SUMPRODUCT((Ventas[Producto]=ePro)*1,Ventas[Can"&amp;"tidad])*eCant)),SUM(CantidadSalida))"),4402.0)</f>
        <v>4402</v>
      </c>
      <c r="H29" s="49">
        <v>4.15</v>
      </c>
      <c r="I29" s="40" t="s">
        <v>106</v>
      </c>
      <c r="J29" s="50"/>
      <c r="K29" s="50"/>
    </row>
    <row r="30" ht="22.5" customHeight="1">
      <c r="A30" s="57"/>
      <c r="B30" s="40" t="s">
        <v>80</v>
      </c>
      <c r="C30" s="40" t="s">
        <v>54</v>
      </c>
      <c r="D30" s="40"/>
      <c r="E30" s="39">
        <f>Materia_Prima[Entradas]-Materia_Prima[Salidas]</f>
        <v>0</v>
      </c>
      <c r="F30" s="39">
        <f t="array" ref="F30">SUMIFS(Compras[Cantidad],Compras[Materia Prima],Materia_Prima[Materia prima])</f>
        <v>1115</v>
      </c>
      <c r="G30" s="36">
        <f>IFERROR(__xludf.DUMMYFUNCTION("LET(FiltroProducto,FILTER(Recetas[Producto],Recetas[Materia Prima]=B30), FiltroCantidad,FILTER(Recetas[Cantidad],Recetas[Materia Prima]=B30),CantidadSalida,MAP(FiltroProducto,FiltroCantidad,LAMBDA(ePro,eCant,SUMPRODUCT((Ventas[Producto]=ePro)*1,Ventas[Can"&amp;"tidad])*eCant)),SUM(CantidadSalida))"),1115.0)</f>
        <v>1115</v>
      </c>
      <c r="H30" s="49">
        <v>4.15</v>
      </c>
      <c r="I30" s="40" t="s">
        <v>106</v>
      </c>
      <c r="J30" s="50"/>
      <c r="K30" s="50"/>
    </row>
    <row r="31" ht="22.5" customHeight="1">
      <c r="A31" s="57"/>
      <c r="B31" s="40" t="s">
        <v>81</v>
      </c>
      <c r="C31" s="40" t="s">
        <v>54</v>
      </c>
      <c r="D31" s="40"/>
      <c r="E31" s="39">
        <f>Materia_Prima[Entradas]-Materia_Prima[Salidas]</f>
        <v>0</v>
      </c>
      <c r="F31" s="39">
        <f t="array" ref="F31">SUMIFS(Compras[Cantidad],Compras[Materia Prima],Materia_Prima[Materia prima])</f>
        <v>1115</v>
      </c>
      <c r="G31" s="36">
        <f>IFERROR(__xludf.DUMMYFUNCTION("LET(FiltroProducto,FILTER(Recetas[Producto],Recetas[Materia Prima]=B31), FiltroCantidad,FILTER(Recetas[Cantidad],Recetas[Materia Prima]=B31),CantidadSalida,MAP(FiltroProducto,FiltroCantidad,LAMBDA(ePro,eCant,SUMPRODUCT((Ventas[Producto]=ePro)*1,Ventas[Can"&amp;"tidad])*eCant)),SUM(CantidadSalida))"),1115.0)</f>
        <v>1115</v>
      </c>
      <c r="H31" s="49">
        <v>4.15</v>
      </c>
      <c r="I31" s="40" t="s">
        <v>106</v>
      </c>
      <c r="J31" s="50"/>
      <c r="K31" s="50"/>
    </row>
    <row r="32" ht="22.5" customHeight="1">
      <c r="A32" s="57"/>
      <c r="B32" s="40" t="s">
        <v>78</v>
      </c>
      <c r="C32" s="40" t="s">
        <v>54</v>
      </c>
      <c r="D32" s="40"/>
      <c r="E32" s="39">
        <f>Materia_Prima[Entradas]-Materia_Prima[Salidas]</f>
        <v>0</v>
      </c>
      <c r="F32" s="39">
        <f t="array" ref="F32">SUMIFS(Compras[Cantidad],Compras[Materia Prima],Materia_Prima[Materia prima])</f>
        <v>9919</v>
      </c>
      <c r="G32" s="36">
        <f>IFERROR(__xludf.DUMMYFUNCTION("LET(FiltroProducto,FILTER(Recetas[Producto],Recetas[Materia Prima]=B32), FiltroCantidad,FILTER(Recetas[Cantidad],Recetas[Materia Prima]=B32),CantidadSalida,MAP(FiltroProducto,FiltroCantidad,LAMBDA(ePro,eCant,SUMPRODUCT((Ventas[Producto]=ePro)*1,Ventas[Can"&amp;"tidad])*eCant)),SUM(CantidadSalida))"),9919.0)</f>
        <v>9919</v>
      </c>
      <c r="H32" s="49"/>
      <c r="I32" s="40"/>
      <c r="J32" s="50"/>
      <c r="K32" s="50"/>
    </row>
    <row r="33" ht="22.5" customHeight="1">
      <c r="A33" s="57"/>
      <c r="B33" s="40" t="s">
        <v>76</v>
      </c>
      <c r="C33" s="40" t="s">
        <v>54</v>
      </c>
      <c r="D33" s="40"/>
      <c r="E33" s="39">
        <f>Materia_Prima[Entradas]-Materia_Prima[Salidas]</f>
        <v>0</v>
      </c>
      <c r="F33" s="39">
        <f t="array" ref="F33">SUMIFS(Compras[Cantidad],Compras[Materia Prima],Materia_Prima[Materia prima])</f>
        <v>41595</v>
      </c>
      <c r="G33" s="36">
        <f>IFERROR(__xludf.DUMMYFUNCTION("LET(FiltroProducto,FILTER(Recetas[Producto],Recetas[Materia Prima]=B33), FiltroCantidad,FILTER(Recetas[Cantidad],Recetas[Materia Prima]=B33),CantidadSalida,MAP(FiltroProducto,FiltroCantidad,LAMBDA(ePro,eCant,SUMPRODUCT((Ventas[Producto]=ePro)*1,Ventas[Can"&amp;"tidad])*eCant)),SUM(CantidadSalida))"),41595.0)</f>
        <v>41595</v>
      </c>
      <c r="H33" s="49">
        <v>42.3</v>
      </c>
      <c r="I33" s="40" t="s">
        <v>106</v>
      </c>
      <c r="J33" s="50"/>
      <c r="K33" s="50"/>
    </row>
    <row r="34" ht="22.5" customHeight="1">
      <c r="A34" s="57"/>
      <c r="B34" s="40" t="s">
        <v>119</v>
      </c>
      <c r="C34" s="40" t="s">
        <v>54</v>
      </c>
      <c r="D34" s="40"/>
      <c r="E34" s="39">
        <f>Materia_Prima[Entradas]-Materia_Prima[Salidas]</f>
        <v>4</v>
      </c>
      <c r="F34" s="39">
        <f t="array" ref="F34">SUMIFS(Compras[Cantidad],Compras[Materia Prima],Materia_Prima[Materia prima])</f>
        <v>1722</v>
      </c>
      <c r="G34" s="36">
        <f>IFERROR(__xludf.DUMMYFUNCTION("LET(FiltroProducto,FILTER(Recetas[Producto],Recetas[Materia Prima]=B34), FiltroCantidad,FILTER(Recetas[Cantidad],Recetas[Materia Prima]=B34),CantidadSalida,MAP(FiltroProducto,FiltroCantidad,LAMBDA(ePro,eCant,SUMPRODUCT((Ventas[Producto]=ePro)*1,Ventas[Can"&amp;"tidad])*eCant)),SUM(CantidadSalida))"),1718.0)</f>
        <v>1718</v>
      </c>
      <c r="H34" s="49"/>
      <c r="I34" s="40"/>
      <c r="J34" s="50"/>
      <c r="K34" s="50"/>
    </row>
    <row r="35" ht="22.5" customHeight="1">
      <c r="A35" s="57"/>
      <c r="B35" s="40" t="s">
        <v>121</v>
      </c>
      <c r="C35" s="40" t="s">
        <v>54</v>
      </c>
      <c r="D35" s="40"/>
      <c r="E35" s="39">
        <f>Materia_Prima[Entradas]-Materia_Prima[Salidas]</f>
        <v>0</v>
      </c>
      <c r="F35" s="39">
        <f t="array" ref="F35">SUMIFS(Compras[Cantidad],Compras[Materia Prima],Materia_Prima[Materia prima])</f>
        <v>24000</v>
      </c>
      <c r="G35" s="36">
        <f>IFERROR(__xludf.DUMMYFUNCTION("LET(FiltroProducto,FILTER(Recetas[Producto],Recetas[Materia Prima]=B35), FiltroCantidad,FILTER(Recetas[Cantidad],Recetas[Materia Prima]=B35),CantidadSalida,MAP(FiltroProducto,FiltroCantidad,LAMBDA(ePro,eCant,SUMPRODUCT((Ventas[Producto]=ePro)*1,Ventas[Can"&amp;"tidad])*eCant)),SUM(CantidadSalida))"),24000.0)</f>
        <v>24000</v>
      </c>
      <c r="H35" s="49">
        <v>11.5</v>
      </c>
      <c r="I35" s="40" t="s">
        <v>106</v>
      </c>
      <c r="J35" s="50"/>
      <c r="K35" s="50"/>
    </row>
    <row r="36" ht="22.5" customHeight="1">
      <c r="A36" s="57"/>
      <c r="B36" s="40" t="s">
        <v>122</v>
      </c>
      <c r="C36" s="40" t="s">
        <v>54</v>
      </c>
      <c r="D36" s="40"/>
      <c r="E36" s="39">
        <f>Materia_Prima[Entradas]-Materia_Prima[Salidas]</f>
        <v>0</v>
      </c>
      <c r="F36" s="39">
        <f t="array" ref="F36">SUMIFS(Compras[Cantidad],Compras[Materia Prima],Materia_Prima[Materia prima])</f>
        <v>480</v>
      </c>
      <c r="G36" s="36">
        <f>IFERROR(__xludf.DUMMYFUNCTION("LET(FiltroProducto,FILTER(Recetas[Producto],Recetas[Materia Prima]=B36), FiltroCantidad,FILTER(Recetas[Cantidad],Recetas[Materia Prima]=B36),CantidadSalida,MAP(FiltroProducto,FiltroCantidad,LAMBDA(ePro,eCant,SUMPRODUCT((Ventas[Producto]=ePro)*1,Ventas[Can"&amp;"tidad])*eCant)),SUM(CantidadSalida))"),480.0)</f>
        <v>480</v>
      </c>
      <c r="H36" s="49"/>
      <c r="I36" s="40"/>
      <c r="J36" s="50"/>
      <c r="K36" s="50"/>
    </row>
    <row r="37" ht="22.5" customHeight="1">
      <c r="A37" s="57"/>
      <c r="B37" s="40" t="s">
        <v>124</v>
      </c>
      <c r="C37" s="40" t="s">
        <v>54</v>
      </c>
      <c r="D37" s="40"/>
      <c r="E37" s="39">
        <f>Materia_Prima[Entradas]-Materia_Prima[Salidas]</f>
        <v>0</v>
      </c>
      <c r="F37" s="39">
        <f t="array" ref="F37">SUMIFS(Compras[Cantidad],Compras[Materia Prima],Materia_Prima[Materia prima])</f>
        <v>29000</v>
      </c>
      <c r="G37" s="36">
        <f>IFERROR(__xludf.DUMMYFUNCTION("LET(FiltroProducto,FILTER(Recetas[Producto],Recetas[Materia Prima]=B37), FiltroCantidad,FILTER(Recetas[Cantidad],Recetas[Materia Prima]=B37),CantidadSalida,MAP(FiltroProducto,FiltroCantidad,LAMBDA(ePro,eCant,SUMPRODUCT((Ventas[Producto]=ePro)*1,Ventas[Can"&amp;"tidad])*eCant)),SUM(CantidadSalida))"),29000.0)</f>
        <v>29000</v>
      </c>
      <c r="H37" s="49">
        <v>16.8</v>
      </c>
      <c r="I37" s="40" t="s">
        <v>106</v>
      </c>
      <c r="J37" s="50"/>
      <c r="K37" s="50"/>
    </row>
    <row r="38" ht="22.5" customHeight="1">
      <c r="A38" s="57"/>
      <c r="B38" s="40" t="s">
        <v>125</v>
      </c>
      <c r="C38" s="40" t="s">
        <v>54</v>
      </c>
      <c r="D38" s="40"/>
      <c r="E38" s="39">
        <f>Materia_Prima[Entradas]-Materia_Prima[Salidas]</f>
        <v>0</v>
      </c>
      <c r="F38" s="39">
        <f t="array" ref="F38">SUMIFS(Compras[Cantidad],Compras[Materia Prima],Materia_Prima[Materia prima])</f>
        <v>1160</v>
      </c>
      <c r="G38" s="36">
        <f>IFERROR(__xludf.DUMMYFUNCTION("LET(FiltroProducto,FILTER(Recetas[Producto],Recetas[Materia Prima]=B38), FiltroCantidad,FILTER(Recetas[Cantidad],Recetas[Materia Prima]=B38),CantidadSalida,MAP(FiltroProducto,FiltroCantidad,LAMBDA(ePro,eCant,SUMPRODUCT((Ventas[Producto]=ePro)*1,Ventas[Can"&amp;"tidad])*eCant)),SUM(CantidadSalida))"),1160.0)</f>
        <v>1160</v>
      </c>
      <c r="H38" s="49"/>
      <c r="I38" s="40"/>
      <c r="J38" s="50"/>
      <c r="K38" s="50"/>
    </row>
    <row r="39" ht="22.5" customHeight="1">
      <c r="B39" s="40"/>
      <c r="C39" s="40"/>
      <c r="D39" s="40"/>
      <c r="E39" s="39" t="str">
        <f>Materia_Prima[Entradas]-Materia_Prima[Salidas]</f>
        <v>#N/A</v>
      </c>
      <c r="F39" s="39">
        <f t="array" ref="F39">SUMIFS(Compras[Cantidad],Compras[Materia Prima],Materia_Prima[Materia prima])</f>
        <v>0</v>
      </c>
      <c r="G39" s="36" t="str">
        <f>IFERROR(__xludf.DUMMYFUNCTION("LET(FiltroProducto,FILTER(Recetas[Producto],Recetas[Materia Prima]=B39), FiltroCantidad,FILTER(Recetas[Cantidad],Recetas[Materia Prima]=B39),CantidadSalida,MAP(FiltroProducto,FiltroCantidad,LAMBDA(ePro,eCant,SUMPRODUCT((Ventas[Producto]=ePro)*1,Ventas[Can"&amp;"tidad])*eCant)),SUM(CantidadSalida))"),"#N/A")</f>
        <v>#N/A</v>
      </c>
      <c r="H39" s="49"/>
      <c r="I39" s="40"/>
      <c r="J39" s="50"/>
      <c r="K39" s="50"/>
    </row>
    <row r="40" ht="22.5" customHeight="1">
      <c r="A40" s="58" t="s">
        <v>207</v>
      </c>
      <c r="B40" s="40" t="s">
        <v>91</v>
      </c>
      <c r="C40" s="40" t="s">
        <v>54</v>
      </c>
      <c r="D40" s="40">
        <v>400.0</v>
      </c>
      <c r="E40" s="39">
        <f>Materia_Prima[Entradas]-Materia_Prima[Salidas]</f>
        <v>1555</v>
      </c>
      <c r="F40" s="39">
        <f t="array" ref="F40">SUMIFS(Compras[Cantidad],Compras[Materia Prima],Materia_Prima[Materia prima])</f>
        <v>10800</v>
      </c>
      <c r="G40" s="36">
        <f>IFERROR(__xludf.DUMMYFUNCTION("LET(FiltroProducto,FILTER(Recetas[Producto],Recetas[Materia Prima]=B40), FiltroCantidad,FILTER(Recetas[Cantidad],Recetas[Materia Prima]=B40),CantidadSalida,MAP(FiltroProducto,FiltroCantidad,LAMBDA(ePro,eCant,SUMPRODUCT((Ventas[Producto]=ePro)*1,Ventas[Can"&amp;"tidad])*eCant)),SUM(CantidadSalida))"),9245.0)</f>
        <v>9245</v>
      </c>
      <c r="H40" s="49">
        <v>14.4</v>
      </c>
      <c r="I40" s="40" t="s">
        <v>106</v>
      </c>
      <c r="J40" s="50"/>
      <c r="K40" s="50"/>
    </row>
    <row r="41" ht="22.5" customHeight="1">
      <c r="A41" s="59"/>
      <c r="B41" s="40" t="s">
        <v>83</v>
      </c>
      <c r="C41" s="40" t="s">
        <v>54</v>
      </c>
      <c r="D41" s="40">
        <v>100.0</v>
      </c>
      <c r="E41" s="39">
        <f>Materia_Prima[Entradas]-Materia_Prima[Salidas]</f>
        <v>3038</v>
      </c>
      <c r="F41" s="39">
        <f t="array" ref="F41">SUMIFS(Compras[Cantidad],Compras[Materia Prima],Materia_Prima[Materia prima])</f>
        <v>5361</v>
      </c>
      <c r="G41" s="36">
        <f>IFERROR(__xludf.DUMMYFUNCTION("LET(FiltroProducto,FILTER(Recetas[Producto],Recetas[Materia Prima]=B41), FiltroCantidad,FILTER(Recetas[Cantidad],Recetas[Materia Prima]=B41),CantidadSalida,MAP(FiltroProducto,FiltroCantidad,LAMBDA(ePro,eCant,SUMPRODUCT((Ventas[Producto]=ePro)*1,Ventas[Can"&amp;"tidad])*eCant)),SUM(CantidadSalida))"),2323.0)</f>
        <v>2323</v>
      </c>
      <c r="H41" s="49">
        <v>10.0</v>
      </c>
      <c r="I41" s="40" t="s">
        <v>106</v>
      </c>
      <c r="J41" s="50"/>
      <c r="K41" s="50"/>
      <c r="N41" s="60"/>
    </row>
    <row r="42" ht="22.5" customHeight="1">
      <c r="A42" s="59"/>
      <c r="B42" s="40" t="s">
        <v>87</v>
      </c>
      <c r="C42" s="40" t="s">
        <v>54</v>
      </c>
      <c r="D42" s="40">
        <v>100.0</v>
      </c>
      <c r="E42" s="39">
        <f>Materia_Prima[Entradas]-Materia_Prima[Salidas]</f>
        <v>1025</v>
      </c>
      <c r="F42" s="39">
        <f t="array" ref="F42">SUMIFS(Compras[Cantidad],Compras[Materia Prima],Materia_Prima[Materia prima])</f>
        <v>2133</v>
      </c>
      <c r="G42" s="36">
        <f>IFERROR(__xludf.DUMMYFUNCTION("LET(FiltroProducto,FILTER(Recetas[Producto],Recetas[Materia Prima]=B42), FiltroCantidad,FILTER(Recetas[Cantidad],Recetas[Materia Prima]=B42),CantidadSalida,MAP(FiltroProducto,FiltroCantidad,LAMBDA(ePro,eCant,SUMPRODUCT((Ventas[Producto]=ePro)*1,Ventas[Can"&amp;"tidad])*eCant)),SUM(CantidadSalida))"),1108.0)</f>
        <v>1108</v>
      </c>
      <c r="H42" s="49">
        <v>10.0</v>
      </c>
      <c r="I42" s="40" t="s">
        <v>106</v>
      </c>
      <c r="J42" s="50"/>
      <c r="K42" s="50"/>
    </row>
    <row r="43" ht="22.5" customHeight="1">
      <c r="A43" s="59"/>
      <c r="B43" s="40" t="s">
        <v>89</v>
      </c>
      <c r="C43" s="40" t="s">
        <v>54</v>
      </c>
      <c r="D43" s="40">
        <v>100.0</v>
      </c>
      <c r="E43" s="39">
        <f>Materia_Prima[Entradas]-Materia_Prima[Salidas]</f>
        <v>1038</v>
      </c>
      <c r="F43" s="39">
        <f t="array" ref="F43">SUMIFS(Compras[Cantidad],Compras[Materia Prima],Materia_Prima[Materia prima])</f>
        <v>2056</v>
      </c>
      <c r="G43" s="36">
        <f>IFERROR(__xludf.DUMMYFUNCTION("LET(FiltroProducto,FILTER(Recetas[Producto],Recetas[Materia Prima]=B43), FiltroCantidad,FILTER(Recetas[Cantidad],Recetas[Materia Prima]=B43),CantidadSalida,MAP(FiltroProducto,FiltroCantidad,LAMBDA(ePro,eCant,SUMPRODUCT((Ventas[Producto]=ePro)*1,Ventas[Can"&amp;"tidad])*eCant)),SUM(CantidadSalida))"),1018.0)</f>
        <v>1018</v>
      </c>
      <c r="H43" s="49">
        <v>10.0</v>
      </c>
      <c r="I43" s="40" t="s">
        <v>106</v>
      </c>
      <c r="J43" s="50"/>
      <c r="K43" s="50"/>
      <c r="N43" s="60"/>
    </row>
    <row r="44" ht="22.5" customHeight="1">
      <c r="A44" s="59"/>
      <c r="B44" s="40" t="s">
        <v>92</v>
      </c>
      <c r="C44" s="40" t="s">
        <v>54</v>
      </c>
      <c r="D44" s="40">
        <v>1000.0</v>
      </c>
      <c r="E44" s="39">
        <f>Materia_Prima[Entradas]-Materia_Prima[Salidas]</f>
        <v>12152</v>
      </c>
      <c r="F44" s="39">
        <f t="array" ref="F44">SUMIFS(Compras[Cantidad],Compras[Materia Prima],Materia_Prima[Materia prima])</f>
        <v>25846</v>
      </c>
      <c r="G44" s="36">
        <f>IFERROR(__xludf.DUMMYFUNCTION("LET(FiltroProducto,FILTER(Recetas[Producto],Recetas[Materia Prima]=B44), FiltroCantidad,FILTER(Recetas[Cantidad],Recetas[Materia Prima]=B44),CantidadSalida,MAP(FiltroProducto,FiltroCantidad,LAMBDA(ePro,eCant,SUMPRODUCT((Ventas[Producto]=ePro)*1,Ventas[Can"&amp;"tidad])*eCant)),SUM(CantidadSalida))"),13694.0)</f>
        <v>13694</v>
      </c>
      <c r="H44" s="49">
        <v>2.9</v>
      </c>
      <c r="I44" s="40" t="s">
        <v>106</v>
      </c>
      <c r="J44" s="50"/>
      <c r="K44" s="50"/>
    </row>
    <row r="45" ht="22.5" customHeight="1">
      <c r="A45" s="59"/>
      <c r="B45" s="40" t="s">
        <v>93</v>
      </c>
      <c r="C45" s="40" t="s">
        <v>54</v>
      </c>
      <c r="D45" s="40">
        <v>600.0</v>
      </c>
      <c r="E45" s="39">
        <f>Materia_Prima[Entradas]-Materia_Prima[Salidas]</f>
        <v>18</v>
      </c>
      <c r="F45" s="39">
        <f t="array" ref="F45">SUMIFS(Compras[Cantidad],Compras[Materia Prima],Materia_Prima[Materia prima])</f>
        <v>5000</v>
      </c>
      <c r="G45" s="36">
        <f>IFERROR(__xludf.DUMMYFUNCTION("LET(FiltroProducto,FILTER(Recetas[Producto],Recetas[Materia Prima]=B45), FiltroCantidad,FILTER(Recetas[Cantidad],Recetas[Materia Prima]=B45),CantidadSalida,MAP(FiltroProducto,FiltroCantidad,LAMBDA(ePro,eCant,SUMPRODUCT((Ventas[Producto]=ePro)*1,Ventas[Can"&amp;"tidad])*eCant)),SUM(CantidadSalida))"),4982.0)</f>
        <v>4982</v>
      </c>
      <c r="H45" s="49"/>
      <c r="I45" s="40"/>
      <c r="J45" s="50"/>
      <c r="K45" s="50"/>
    </row>
    <row r="46" ht="22.5" customHeight="1">
      <c r="A46" s="59"/>
      <c r="B46" s="40" t="s">
        <v>101</v>
      </c>
      <c r="C46" s="40" t="s">
        <v>54</v>
      </c>
      <c r="D46" s="40">
        <v>400.0</v>
      </c>
      <c r="E46" s="39">
        <f>Materia_Prima[Entradas]-Materia_Prima[Salidas]</f>
        <v>4</v>
      </c>
      <c r="F46" s="39">
        <f t="array" ref="F46">SUMIFS(Compras[Cantidad],Compras[Materia Prima],Materia_Prima[Materia prima])</f>
        <v>2153</v>
      </c>
      <c r="G46" s="36">
        <f>IFERROR(__xludf.DUMMYFUNCTION("LET(FiltroProducto,FILTER(Recetas[Producto],Recetas[Materia Prima]=B46), FiltroCantidad,FILTER(Recetas[Cantidad],Recetas[Materia Prima]=B46),CantidadSalida,MAP(FiltroProducto,FiltroCantidad,LAMBDA(ePro,eCant,SUMPRODUCT((Ventas[Producto]=ePro)*1,Ventas[Can"&amp;"tidad])*eCant)),SUM(CantidadSalida))"),2149.0)</f>
        <v>2149</v>
      </c>
      <c r="H46" s="49"/>
      <c r="I46" s="40"/>
      <c r="J46" s="50"/>
      <c r="K46" s="50"/>
    </row>
    <row r="47" ht="22.5" customHeight="1">
      <c r="A47" s="59"/>
      <c r="B47" s="40" t="s">
        <v>98</v>
      </c>
      <c r="C47" s="40" t="s">
        <v>54</v>
      </c>
      <c r="D47" s="40">
        <v>400.0</v>
      </c>
      <c r="E47" s="39">
        <f>Materia_Prima[Entradas]-Materia_Prima[Salidas]</f>
        <v>-1</v>
      </c>
      <c r="F47" s="39">
        <f t="array" ref="F47">SUMIFS(Compras[Cantidad],Compras[Materia Prima],Materia_Prima[Materia prima])</f>
        <v>2113</v>
      </c>
      <c r="G47" s="36">
        <f>IFERROR(__xludf.DUMMYFUNCTION("LET(FiltroProducto,FILTER(Recetas[Producto],Recetas[Materia Prima]=B47), FiltroCantidad,FILTER(Recetas[Cantidad],Recetas[Materia Prima]=B47),CantidadSalida,MAP(FiltroProducto,FiltroCantidad,LAMBDA(ePro,eCant,SUMPRODUCT((Ventas[Producto]=ePro)*1,Ventas[Can"&amp;"tidad])*eCant)),SUM(CantidadSalida))"),2114.0)</f>
        <v>2114</v>
      </c>
      <c r="H47" s="49"/>
      <c r="I47" s="40"/>
      <c r="J47" s="50"/>
      <c r="K47" s="50"/>
    </row>
    <row r="48" ht="22.5" customHeight="1">
      <c r="A48" s="59"/>
      <c r="B48" s="40" t="s">
        <v>96</v>
      </c>
      <c r="C48" s="40" t="s">
        <v>54</v>
      </c>
      <c r="D48" s="40">
        <v>300.0</v>
      </c>
      <c r="E48" s="39">
        <f>Materia_Prima[Entradas]-Materia_Prima[Salidas]</f>
        <v>4971</v>
      </c>
      <c r="F48" s="39">
        <f t="array" ref="F48">SUMIFS(Compras[Cantidad],Compras[Materia Prima],Materia_Prima[Materia prima])</f>
        <v>9953</v>
      </c>
      <c r="G48" s="36">
        <f>IFERROR(__xludf.DUMMYFUNCTION("LET(FiltroProducto,FILTER(Recetas[Producto],Recetas[Materia Prima]=B48), FiltroCantidad,FILTER(Recetas[Cantidad],Recetas[Materia Prima]=B48),CantidadSalida,MAP(FiltroProducto,FiltroCantidad,LAMBDA(ePro,eCant,SUMPRODUCT((Ventas[Producto]=ePro)*1,Ventas[Can"&amp;"tidad])*eCant)),SUM(CantidadSalida))"),4982.0)</f>
        <v>4982</v>
      </c>
      <c r="H48" s="49">
        <v>37.2</v>
      </c>
      <c r="I48" s="40" t="s">
        <v>106</v>
      </c>
      <c r="J48" s="50"/>
      <c r="K48" s="40" t="s">
        <v>208</v>
      </c>
    </row>
    <row r="49" ht="22.5" customHeight="1">
      <c r="A49" s="59"/>
      <c r="B49" s="40" t="s">
        <v>100</v>
      </c>
      <c r="C49" s="40" t="s">
        <v>54</v>
      </c>
      <c r="D49" s="40">
        <v>150.0</v>
      </c>
      <c r="E49" s="39">
        <f>Materia_Prima[Entradas]-Materia_Prima[Salidas]</f>
        <v>0</v>
      </c>
      <c r="F49" s="39">
        <f t="array" ref="F49">SUMIFS(Compras[Cantidad],Compras[Materia Prima],Materia_Prima[Materia prima])</f>
        <v>2114</v>
      </c>
      <c r="G49" s="36">
        <f>IFERROR(__xludf.DUMMYFUNCTION("LET(FiltroProducto,FILTER(Recetas[Producto],Recetas[Materia Prima]=B49), FiltroCantidad,FILTER(Recetas[Cantidad],Recetas[Materia Prima]=B49),CantidadSalida,MAP(FiltroProducto,FiltroCantidad,LAMBDA(ePro,eCant,SUMPRODUCT((Ventas[Producto]=ePro)*1,Ventas[Can"&amp;"tidad])*eCant)),SUM(CantidadSalida))"),2114.0)</f>
        <v>2114</v>
      </c>
      <c r="H49" s="49">
        <v>37.2</v>
      </c>
      <c r="I49" s="40" t="s">
        <v>106</v>
      </c>
      <c r="J49" s="50"/>
      <c r="K49" s="50"/>
    </row>
    <row r="50" ht="22.5" customHeight="1">
      <c r="A50" s="59"/>
      <c r="B50" s="40" t="s">
        <v>102</v>
      </c>
      <c r="C50" s="40" t="s">
        <v>54</v>
      </c>
      <c r="D50" s="40">
        <v>150.0</v>
      </c>
      <c r="E50" s="39">
        <f>Materia_Prima[Entradas]-Materia_Prima[Salidas]</f>
        <v>0</v>
      </c>
      <c r="F50" s="39">
        <f t="array" ref="F50">SUMIFS(Compras[Cantidad],Compras[Materia Prima],Materia_Prima[Materia prima])</f>
        <v>2149</v>
      </c>
      <c r="G50" s="36">
        <f>IFERROR(__xludf.DUMMYFUNCTION("LET(FiltroProducto,FILTER(Recetas[Producto],Recetas[Materia Prima]=B50), FiltroCantidad,FILTER(Recetas[Cantidad],Recetas[Materia Prima]=B50),CantidadSalida,MAP(FiltroProducto,FiltroCantidad,LAMBDA(ePro,eCant,SUMPRODUCT((Ventas[Producto]=ePro)*1,Ventas[Can"&amp;"tidad])*eCant)),SUM(CantidadSalida))"),2149.0)</f>
        <v>2149</v>
      </c>
      <c r="H50" s="49">
        <v>37.2</v>
      </c>
      <c r="I50" s="40" t="s">
        <v>106</v>
      </c>
      <c r="J50" s="50"/>
      <c r="K50" s="50"/>
    </row>
    <row r="51" ht="22.5" customHeight="1">
      <c r="A51" s="59"/>
      <c r="B51" s="40" t="s">
        <v>94</v>
      </c>
      <c r="C51" s="40" t="s">
        <v>54</v>
      </c>
      <c r="D51" s="40">
        <v>300.0</v>
      </c>
      <c r="E51" s="39">
        <f>Materia_Prima[Entradas]-Materia_Prima[Salidas]</f>
        <v>1439</v>
      </c>
      <c r="F51" s="39">
        <f t="array" ref="F51">SUMIFS(Compras[Cantidad],Compras[Materia Prima],Materia_Prima[Materia prima])</f>
        <v>8570</v>
      </c>
      <c r="G51" s="36">
        <f>IFERROR(__xludf.DUMMYFUNCTION("LET(FiltroProducto,FILTER(Recetas[Producto],Recetas[Materia Prima]=B51), FiltroCantidad,FILTER(Recetas[Cantidad],Recetas[Materia Prima]=B51),CantidadSalida,MAP(FiltroProducto,FiltroCantidad,LAMBDA(ePro,eCant,SUMPRODUCT((Ventas[Producto]=ePro)*1,Ventas[Can"&amp;"tidad])*eCant)),SUM(CantidadSalida))"),7131.0)</f>
        <v>7131</v>
      </c>
      <c r="H51" s="49">
        <v>3.9</v>
      </c>
      <c r="I51" s="40" t="s">
        <v>106</v>
      </c>
      <c r="J51" s="50"/>
      <c r="K51" s="50"/>
    </row>
    <row r="52" ht="22.5" customHeight="1">
      <c r="A52" s="59"/>
      <c r="B52" s="40" t="s">
        <v>99</v>
      </c>
      <c r="C52" s="40" t="s">
        <v>54</v>
      </c>
      <c r="D52" s="40">
        <v>150.0</v>
      </c>
      <c r="E52" s="39">
        <f>Materia_Prima[Entradas]-Materia_Prima[Salidas]</f>
        <v>577</v>
      </c>
      <c r="F52" s="39">
        <f t="array" ref="F52">SUMIFS(Compras[Cantidad],Compras[Materia Prima],Materia_Prima[Materia prima])</f>
        <v>2691</v>
      </c>
      <c r="G52" s="36">
        <f>IFERROR(__xludf.DUMMYFUNCTION("LET(FiltroProducto,FILTER(Recetas[Producto],Recetas[Materia Prima]=B52), FiltroCantidad,FILTER(Recetas[Cantidad],Recetas[Materia Prima]=B52),CantidadSalida,MAP(FiltroProducto,FiltroCantidad,LAMBDA(ePro,eCant,SUMPRODUCT((Ventas[Producto]=ePro)*1,Ventas[Can"&amp;"tidad])*eCant)),SUM(CantidadSalida))"),2114.0)</f>
        <v>2114</v>
      </c>
      <c r="H52" s="49">
        <v>3.9</v>
      </c>
      <c r="I52" s="40" t="s">
        <v>106</v>
      </c>
      <c r="J52" s="50"/>
      <c r="K52" s="50"/>
    </row>
    <row r="53" ht="22.5" customHeight="1">
      <c r="A53" s="59"/>
      <c r="B53" s="40" t="s">
        <v>95</v>
      </c>
      <c r="C53" s="40" t="s">
        <v>54</v>
      </c>
      <c r="D53" s="40">
        <v>500.0</v>
      </c>
      <c r="E53" s="39">
        <f>Materia_Prima[Entradas]-Materia_Prima[Salidas]</f>
        <v>3687</v>
      </c>
      <c r="F53" s="39">
        <f t="array" ref="F53">SUMIFS(Compras[Cantidad],Compras[Materia Prima],Materia_Prima[Materia prima])</f>
        <v>12932</v>
      </c>
      <c r="G53" s="36">
        <f>IFERROR(__xludf.DUMMYFUNCTION("LET(FiltroProducto,FILTER(Recetas[Producto],Recetas[Materia Prima]=B53), FiltroCantidad,FILTER(Recetas[Cantidad],Recetas[Materia Prima]=B53),CantidadSalida,MAP(FiltroProducto,FiltroCantidad,LAMBDA(ePro,eCant,SUMPRODUCT((Ventas[Producto]=ePro)*1,Ventas[Can"&amp;"tidad])*eCant)),SUM(CantidadSalida))"),9245.0)</f>
        <v>9245</v>
      </c>
      <c r="H53" s="49">
        <v>1.9</v>
      </c>
      <c r="I53" s="40" t="s">
        <v>106</v>
      </c>
      <c r="J53" s="50"/>
      <c r="K53" s="50"/>
    </row>
    <row r="54" ht="22.5" customHeight="1">
      <c r="A54" s="59"/>
      <c r="B54" s="40" t="s">
        <v>85</v>
      </c>
      <c r="C54" s="40" t="s">
        <v>54</v>
      </c>
      <c r="D54" s="40">
        <v>300.0</v>
      </c>
      <c r="E54" s="39">
        <f>Materia_Prima[Entradas]-Materia_Prima[Salidas]</f>
        <v>1918</v>
      </c>
      <c r="F54" s="39">
        <f t="array" ref="F54">SUMIFS(Compras[Cantidad],Compras[Materia Prima],Materia_Prima[Materia prima])</f>
        <v>1918</v>
      </c>
      <c r="G54" s="36">
        <f>IFERROR(__xludf.DUMMYFUNCTION("LET(FiltroProducto,FILTER(Recetas[Producto],Recetas[Materia Prima]=B54), FiltroCantidad,FILTER(Recetas[Cantidad],Recetas[Materia Prima]=B54),CantidadSalida,MAP(FiltroProducto,FiltroCantidad,LAMBDA(ePro,eCant,SUMPRODUCT((Ventas[Producto]=ePro)*1,Ventas[Can"&amp;"tidad])*eCant)),SUM(CantidadSalida))"),0.0)</f>
        <v>0</v>
      </c>
      <c r="H54" s="49">
        <v>1.45</v>
      </c>
      <c r="I54" s="40" t="s">
        <v>106</v>
      </c>
      <c r="J54" s="50"/>
      <c r="K54" s="50"/>
    </row>
    <row r="55" ht="22.5" customHeight="1">
      <c r="A55" s="59"/>
      <c r="B55" s="40" t="s">
        <v>86</v>
      </c>
      <c r="C55" s="40" t="s">
        <v>54</v>
      </c>
      <c r="D55" s="40">
        <v>300.0</v>
      </c>
      <c r="E55" s="39">
        <f>Materia_Prima[Entradas]-Materia_Prima[Salidas]</f>
        <v>4705</v>
      </c>
      <c r="F55" s="39">
        <f t="array" ref="F55">SUMIFS(Compras[Cantidad],Compras[Materia Prima],Materia_Prima[Materia prima])</f>
        <v>12010</v>
      </c>
      <c r="G55" s="36">
        <f>IFERROR(__xludf.DUMMYFUNCTION("LET(FiltroProducto,FILTER(Recetas[Producto],Recetas[Materia Prima]=B55), FiltroCantidad,FILTER(Recetas[Cantidad],Recetas[Materia Prima]=B55),CantidadSalida,MAP(FiltroProducto,FiltroCantidad,LAMBDA(ePro,eCant,SUMPRODUCT((Ventas[Producto]=ePro)*1,Ventas[Can"&amp;"tidad])*eCant)),SUM(CantidadSalida))"),7305.0)</f>
        <v>7305</v>
      </c>
      <c r="H55" s="49">
        <v>38.5</v>
      </c>
      <c r="I55" s="40" t="s">
        <v>106</v>
      </c>
      <c r="J55" s="50"/>
      <c r="K55" s="50"/>
      <c r="S55" s="61"/>
      <c r="T55" s="61"/>
    </row>
    <row r="56" ht="22.5" customHeight="1">
      <c r="A56" s="59"/>
      <c r="B56" s="40" t="s">
        <v>88</v>
      </c>
      <c r="C56" s="40" t="s">
        <v>54</v>
      </c>
      <c r="D56" s="40">
        <v>150.0</v>
      </c>
      <c r="E56" s="39">
        <f>Materia_Prima[Entradas]-Materia_Prima[Salidas]</f>
        <v>2317</v>
      </c>
      <c r="F56" s="39">
        <f t="array" ref="F56">SUMIFS(Compras[Cantidad],Compras[Materia Prima],Materia_Prima[Materia prima])</f>
        <v>5539</v>
      </c>
      <c r="G56" s="36">
        <f>IFERROR(__xludf.DUMMYFUNCTION("LET(FiltroProducto,FILTER(Recetas[Producto],Recetas[Materia Prima]=B56), FiltroCantidad,FILTER(Recetas[Cantidad],Recetas[Materia Prima]=B56),CantidadSalida,MAP(FiltroProducto,FiltroCantidad,LAMBDA(ePro,eCant,SUMPRODUCT((Ventas[Producto]=ePro)*1,Ventas[Can"&amp;"tidad])*eCant)),SUM(CantidadSalida))"),3222.0)</f>
        <v>3222</v>
      </c>
      <c r="H56" s="49">
        <v>38.6</v>
      </c>
      <c r="I56" s="40" t="s">
        <v>106</v>
      </c>
      <c r="J56" s="50"/>
      <c r="K56" s="50"/>
    </row>
    <row r="57" ht="22.5" customHeight="1">
      <c r="A57" s="59"/>
      <c r="B57" s="40" t="s">
        <v>90</v>
      </c>
      <c r="C57" s="40" t="s">
        <v>54</v>
      </c>
      <c r="D57" s="40">
        <v>150.0</v>
      </c>
      <c r="E57" s="39">
        <f>Materia_Prima[Entradas]-Materia_Prima[Salidas]</f>
        <v>2217</v>
      </c>
      <c r="F57" s="39">
        <f t="array" ref="F57">SUMIFS(Compras[Cantidad],Compras[Materia Prima],Materia_Prima[Materia prima])</f>
        <v>5384</v>
      </c>
      <c r="G57" s="36">
        <f>IFERROR(__xludf.DUMMYFUNCTION("LET(FiltroProducto,FILTER(Recetas[Producto],Recetas[Materia Prima]=B57), FiltroCantidad,FILTER(Recetas[Cantidad],Recetas[Materia Prima]=B57),CantidadSalida,MAP(FiltroProducto,FiltroCantidad,LAMBDA(ePro,eCant,SUMPRODUCT((Ventas[Producto]=ePro)*1,Ventas[Can"&amp;"tidad])*eCant)),SUM(CantidadSalida))"),3167.0)</f>
        <v>3167</v>
      </c>
      <c r="H57" s="49">
        <v>37.9</v>
      </c>
      <c r="I57" s="40" t="s">
        <v>106</v>
      </c>
      <c r="J57" s="50"/>
      <c r="K57" s="50"/>
    </row>
    <row r="58" ht="22.5" customHeight="1">
      <c r="B58" s="40"/>
      <c r="C58" s="40"/>
      <c r="D58" s="40"/>
      <c r="E58" s="39" t="str">
        <f>Materia_Prima[Entradas]-Materia_Prima[Salidas]</f>
        <v>#N/A</v>
      </c>
      <c r="F58" s="39">
        <f t="array" ref="F58">SUMIFS(Compras[Cantidad],Compras[Materia Prima],Materia_Prima[Materia prima])</f>
        <v>0</v>
      </c>
      <c r="G58" s="36" t="str">
        <f>IFERROR(__xludf.DUMMYFUNCTION("LET(FiltroProducto,FILTER(Recetas[Producto],Recetas[Materia Prima]=B58), FiltroCantidad,FILTER(Recetas[Cantidad],Recetas[Materia Prima]=B58),CantidadSalida,MAP(FiltroProducto,FiltroCantidad,LAMBDA(ePro,eCant,SUMPRODUCT((Ventas[Producto]=ePro)*1,Ventas[Can"&amp;"tidad])*eCant)),SUM(CantidadSalida))"),"#N/A")</f>
        <v>#N/A</v>
      </c>
      <c r="H58" s="49"/>
      <c r="I58" s="40"/>
      <c r="J58" s="50"/>
      <c r="K58" s="50"/>
    </row>
    <row r="59" ht="22.5" customHeight="1">
      <c r="A59" s="51" t="s">
        <v>209</v>
      </c>
      <c r="B59" s="40" t="s">
        <v>105</v>
      </c>
      <c r="C59" s="40" t="s">
        <v>106</v>
      </c>
      <c r="D59" s="40">
        <v>50000.0</v>
      </c>
      <c r="E59" s="39">
        <f>Materia_Prima[Entradas]-Materia_Prima[Salidas]</f>
        <v>579800</v>
      </c>
      <c r="F59" s="39">
        <f t="array" ref="F59">SUMIFS(Compras[Cantidad],Compras[Materia Prima],Materia_Prima[Materia prima])</f>
        <v>1366200</v>
      </c>
      <c r="G59" s="36">
        <f>IFERROR(__xludf.DUMMYFUNCTION("LET(FiltroProducto,FILTER(Recetas[Producto],Recetas[Materia Prima]=B59), FiltroCantidad,FILTER(Recetas[Cantidad],Recetas[Materia Prima]=B59),CantidadSalida,MAP(FiltroProducto,FiltroCantidad,LAMBDA(ePro,eCant,SUMPRODUCT((Ventas[Producto]=ePro)*1,Ventas[Can"&amp;"tidad])*eCant)),SUM(CantidadSalida))"),786400.0)</f>
        <v>786400</v>
      </c>
      <c r="H59" s="49"/>
      <c r="I59" s="40" t="s">
        <v>106</v>
      </c>
      <c r="J59" s="50"/>
      <c r="K59" s="50"/>
      <c r="M59" s="3" t="s">
        <v>210</v>
      </c>
      <c r="N59" s="62">
        <f>Materia_Prima[Entradas]-Materia_Prima[Salidas]</f>
        <v>579800</v>
      </c>
      <c r="O59" s="62">
        <f t="array" ref="O59">SUMIFS(Compras[Cantidad],Compras[Materia Prima],Materia_Prima[Materia prima])</f>
        <v>1366200</v>
      </c>
      <c r="P59" s="3">
        <v>1534680.0</v>
      </c>
      <c r="Q59" s="63"/>
      <c r="R59" s="64" t="s">
        <v>106</v>
      </c>
    </row>
    <row r="60" ht="22.5" customHeight="1">
      <c r="A60" s="52"/>
      <c r="B60" s="40" t="s">
        <v>144</v>
      </c>
      <c r="C60" s="40" t="s">
        <v>106</v>
      </c>
      <c r="D60" s="40">
        <v>50000.0</v>
      </c>
      <c r="E60" s="39">
        <f>Materia_Prima[Entradas]-Materia_Prima[Salidas]</f>
        <v>-20055</v>
      </c>
      <c r="F60" s="39">
        <f t="array" ref="F60">SUMIFS(Compras[Cantidad],Compras[Materia Prima],Materia_Prima[Materia prima])</f>
        <v>600000</v>
      </c>
      <c r="G60" s="36">
        <f>IFERROR(__xludf.DUMMYFUNCTION("LET(FiltroProducto,FILTER(Recetas[Producto],Recetas[Materia Prima]=B60), FiltroCantidad,FILTER(Recetas[Cantidad],Recetas[Materia Prima]=B60),CantidadSalida,MAP(FiltroProducto,FiltroCantidad,LAMBDA(ePro,eCant,SUMPRODUCT((Ventas[Producto]=ePro)*1,Ventas[Can"&amp;"tidad])*eCant)),SUM(CantidadSalida))"),620055.0)</f>
        <v>620055</v>
      </c>
      <c r="H60" s="49"/>
      <c r="I60" s="40"/>
      <c r="J60" s="50"/>
      <c r="K60" s="50"/>
    </row>
    <row r="61" ht="22.5" customHeight="1">
      <c r="A61" s="52"/>
      <c r="B61" s="40" t="s">
        <v>109</v>
      </c>
      <c r="C61" s="40" t="s">
        <v>106</v>
      </c>
      <c r="D61" s="40">
        <v>25000.0</v>
      </c>
      <c r="E61" s="39">
        <f>Materia_Prima[Entradas]-Materia_Prima[Salidas]</f>
        <v>165274</v>
      </c>
      <c r="F61" s="39">
        <f t="array" ref="F61">SUMIFS(Compras[Cantidad],Compras[Materia Prima],Materia_Prima[Materia prima])</f>
        <v>406825</v>
      </c>
      <c r="G61" s="36">
        <f>IFERROR(__xludf.DUMMYFUNCTION("LET(FiltroProducto,FILTER(Recetas[Producto],Recetas[Materia Prima]=B61), FiltroCantidad,FILTER(Recetas[Cantidad],Recetas[Materia Prima]=B61),CantidadSalida,MAP(FiltroProducto,FiltroCantidad,LAMBDA(ePro,eCant,SUMPRODUCT((Ventas[Producto]=ePro)*1,Ventas[Can"&amp;"tidad])*eCant)),SUM(CantidadSalida))"),241551.0)</f>
        <v>241551</v>
      </c>
      <c r="H61" s="49"/>
      <c r="I61" s="40" t="s">
        <v>106</v>
      </c>
      <c r="J61" s="50"/>
      <c r="K61" s="50"/>
    </row>
    <row r="62" ht="22.5" customHeight="1">
      <c r="A62" s="52"/>
      <c r="B62" s="40" t="s">
        <v>149</v>
      </c>
      <c r="C62" s="40" t="s">
        <v>106</v>
      </c>
      <c r="D62" s="40">
        <v>25000.0</v>
      </c>
      <c r="E62" s="39">
        <f>Materia_Prima[Entradas]-Materia_Prima[Salidas]</f>
        <v>247049</v>
      </c>
      <c r="F62" s="39">
        <f t="array" ref="F62">SUMIFS(Compras[Cantidad],Compras[Materia Prima],Materia_Prima[Materia prima])</f>
        <v>488600</v>
      </c>
      <c r="G62" s="36">
        <f>IFERROR(__xludf.DUMMYFUNCTION("LET(FiltroProducto,FILTER(Recetas[Producto],Recetas[Materia Prima]=B62), FiltroCantidad,FILTER(Recetas[Cantidad],Recetas[Materia Prima]=B62),CantidadSalida,MAP(FiltroProducto,FiltroCantidad,LAMBDA(ePro,eCant,SUMPRODUCT((Ventas[Producto]=ePro)*1,Ventas[Can"&amp;"tidad])*eCant)),SUM(CantidadSalida))"),241551.0)</f>
        <v>241551</v>
      </c>
      <c r="H62" s="49"/>
      <c r="I62" s="40"/>
      <c r="J62" s="50"/>
      <c r="K62" s="50"/>
    </row>
    <row r="63" ht="22.5" customHeight="1">
      <c r="A63" s="52"/>
      <c r="B63" s="40" t="s">
        <v>12</v>
      </c>
      <c r="C63" s="40" t="s">
        <v>106</v>
      </c>
      <c r="D63" s="40">
        <v>15000.0</v>
      </c>
      <c r="E63" s="39">
        <f>Materia_Prima[Entradas]-Materia_Prima[Salidas]</f>
        <v>275000</v>
      </c>
      <c r="F63" s="39">
        <f t="array" ref="F63">SUMIFS(Compras[Cantidad],Compras[Materia Prima],Materia_Prima[Materia prima])</f>
        <v>776200</v>
      </c>
      <c r="G63" s="36">
        <f>IFERROR(__xludf.DUMMYFUNCTION("LET(FiltroProducto,FILTER(Recetas[Producto],Recetas[Materia Prima]=B63), FiltroCantidad,FILTER(Recetas[Cantidad],Recetas[Materia Prima]=B63),CantidadSalida,MAP(FiltroProducto,FiltroCantidad,LAMBDA(ePro,eCant,SUMPRODUCT((Ventas[Producto]=ePro)*1,Ventas[Can"&amp;"tidad])*eCant)),SUM(CantidadSalida))"),501200.0)</f>
        <v>501200</v>
      </c>
      <c r="H63" s="49">
        <v>150.0</v>
      </c>
      <c r="I63" s="40" t="s">
        <v>106</v>
      </c>
      <c r="J63" s="40">
        <v>180.0</v>
      </c>
      <c r="K63" s="40" t="s">
        <v>211</v>
      </c>
    </row>
    <row r="64" ht="22.5" customHeight="1">
      <c r="A64" s="52"/>
      <c r="B64" s="40" t="s">
        <v>133</v>
      </c>
      <c r="C64" s="40" t="s">
        <v>106</v>
      </c>
      <c r="D64" s="40">
        <v>15000.0</v>
      </c>
      <c r="E64" s="39">
        <f>Materia_Prima[Entradas]-Materia_Prima[Salidas]</f>
        <v>2777400</v>
      </c>
      <c r="F64" s="39">
        <f t="array" ref="F64">SUMIFS(Compras[Cantidad],Compras[Materia Prima],Materia_Prima[Materia prima])</f>
        <v>4383200</v>
      </c>
      <c r="G64" s="39">
        <f>IFERROR(__xludf.DUMMYFUNCTION("LET(FiltroProducto,FILTER(Recetas[Producto],Recetas[Materia Prima]=B64), FiltroCantidad,FILTER(Recetas[Cantidad],Recetas[Materia Prima]=B64),CantidadSalida,MAP(FiltroProducto,FiltroCantidad,LAMBDA(ePro,eCant,SUMPRODUCT((Ventas[Producto]=ePro)*1,Ventas[Can"&amp;"tidad])*eCant)),SUM(CantidadSalida))"),1605800.0)</f>
        <v>1605800</v>
      </c>
      <c r="H64" s="49">
        <v>715.0</v>
      </c>
      <c r="I64" s="40" t="s">
        <v>106</v>
      </c>
      <c r="J64" s="40"/>
      <c r="K64" s="40"/>
    </row>
    <row r="65" ht="22.5" customHeight="1">
      <c r="A65" s="52"/>
      <c r="B65" s="40" t="s">
        <v>141</v>
      </c>
      <c r="C65" s="40" t="s">
        <v>106</v>
      </c>
      <c r="D65" s="40">
        <v>100.0</v>
      </c>
      <c r="E65" s="39">
        <f>Materia_Prima[Entradas]-Materia_Prima[Salidas]</f>
        <v>177000</v>
      </c>
      <c r="F65" s="39">
        <f t="array" ref="F65">SUMIFS(Compras[Cantidad],Compras[Materia Prima],Materia_Prima[Materia prima])</f>
        <v>375000</v>
      </c>
      <c r="G65" s="39">
        <f>IFERROR(__xludf.DUMMYFUNCTION("LET(FiltroProducto,FILTER(Recetas[Producto],Recetas[Materia Prima]=B65), FiltroCantidad,FILTER(Recetas[Cantidad],Recetas[Materia Prima]=B65),CantidadSalida,MAP(FiltroProducto,FiltroCantidad,LAMBDA(ePro,eCant,SUMPRODUCT((Ventas[Producto]=ePro)*1,Ventas[Can"&amp;"tidad])*eCant)),SUM(CantidadSalida))"),198000.0)</f>
        <v>198000</v>
      </c>
      <c r="H65" s="54"/>
      <c r="I65" s="39"/>
      <c r="J65" s="39"/>
      <c r="K65" s="39"/>
    </row>
    <row r="66" ht="22.5" customHeight="1">
      <c r="B66" s="40"/>
      <c r="C66" s="40"/>
      <c r="D66" s="40"/>
      <c r="E66" s="39" t="str">
        <f>Materia_Prima[Entradas]-Materia_Prima[Salidas]</f>
        <v>#N/A</v>
      </c>
      <c r="F66" s="39">
        <f t="array" ref="F66">SUMIFS(Compras[Cantidad],Compras[Materia Prima],Materia_Prima[Materia prima])</f>
        <v>0</v>
      </c>
      <c r="G66" s="39" t="str">
        <f>IFERROR(__xludf.DUMMYFUNCTION("LET(FiltroProducto,FILTER(Recetas[Producto],Recetas[Materia Prima]=B66), FiltroCantidad,FILTER(Recetas[Cantidad],Recetas[Materia Prima]=B66),CantidadSalida,MAP(FiltroProducto,FiltroCantidad,LAMBDA(ePro,eCant,SUMPRODUCT((Ventas[Producto]=ePro)*1,Ventas[Can"&amp;"tidad])*eCant)),SUM(CantidadSalida))"),"#N/A")</f>
        <v>#N/A</v>
      </c>
      <c r="H66" s="54"/>
      <c r="I66" s="39"/>
      <c r="J66" s="39"/>
      <c r="K66" s="39"/>
    </row>
    <row r="67" ht="22.5" customHeight="1">
      <c r="A67" s="65" t="s">
        <v>212</v>
      </c>
      <c r="B67" s="40" t="s">
        <v>110</v>
      </c>
      <c r="C67" s="40" t="s">
        <v>54</v>
      </c>
      <c r="D67" s="40">
        <v>200.0</v>
      </c>
      <c r="E67" s="39">
        <f>Materia_Prima[Entradas]-Materia_Prima[Salidas]</f>
        <v>4042</v>
      </c>
      <c r="F67" s="39">
        <f t="array" ref="F67">SUMIFS(Compras[Cantidad],Compras[Materia Prima],Materia_Prima[Materia prima])</f>
        <v>7915</v>
      </c>
      <c r="G67" s="36">
        <f>IFERROR(__xludf.DUMMYFUNCTION("LET(FiltroProducto,FILTER(Recetas[Producto],Recetas[Materia Prima]=B67), FiltroCantidad,FILTER(Recetas[Cantidad],Recetas[Materia Prima]=B67),CantidadSalida,MAP(FiltroProducto,FiltroCantidad,LAMBDA(ePro,eCant,SUMPRODUCT((Ventas[Producto]=ePro)*1,Ventas[Can"&amp;"tidad])*eCant)),SUM(CantidadSalida))"),3873.0)</f>
        <v>3873</v>
      </c>
      <c r="H67" s="49">
        <v>13.15</v>
      </c>
      <c r="I67" s="40" t="s">
        <v>106</v>
      </c>
      <c r="J67" s="50"/>
      <c r="K67" s="50"/>
    </row>
    <row r="68" ht="22.5" customHeight="1">
      <c r="A68" s="66"/>
      <c r="B68" s="40" t="s">
        <v>148</v>
      </c>
      <c r="C68" s="40" t="s">
        <v>54</v>
      </c>
      <c r="D68" s="40"/>
      <c r="E68" s="39">
        <f>Materia_Prima[Entradas]-Materia_Prima[Salidas]</f>
        <v>2026</v>
      </c>
      <c r="F68" s="39">
        <f t="array" ref="F68">SUMIFS(Compras[Cantidad],Compras[Materia Prima],Materia_Prima[Materia prima])</f>
        <v>2681</v>
      </c>
      <c r="G68" s="36">
        <f>IFERROR(__xludf.DUMMYFUNCTION("LET(FiltroProducto,FILTER(Recetas[Producto],Recetas[Materia Prima]=B68), FiltroCantidad,FILTER(Recetas[Cantidad],Recetas[Materia Prima]=B68),CantidadSalida,MAP(FiltroProducto,FiltroCantidad,LAMBDA(ePro,eCant,SUMPRODUCT((Ventas[Producto]=ePro)*1,Ventas[Can"&amp;"tidad])*eCant)),SUM(CantidadSalida))"),655.0)</f>
        <v>655</v>
      </c>
      <c r="H68" s="49"/>
      <c r="I68" s="40"/>
      <c r="J68" s="50"/>
      <c r="K68" s="50"/>
    </row>
    <row r="69" ht="22.5" customHeight="1">
      <c r="A69" s="66"/>
      <c r="B69" s="40" t="s">
        <v>134</v>
      </c>
      <c r="C69" s="40" t="s">
        <v>54</v>
      </c>
      <c r="D69" s="40"/>
      <c r="E69" s="39">
        <f>Materia_Prima[Entradas]-Materia_Prima[Salidas]</f>
        <v>676</v>
      </c>
      <c r="F69" s="39">
        <f t="array" ref="F69">SUMIFS(Compras[Cantidad],Compras[Materia Prima],Materia_Prima[Materia prima])</f>
        <v>1020</v>
      </c>
      <c r="G69" s="39">
        <f>IFERROR(__xludf.DUMMYFUNCTION("LET(FiltroProducto,FILTER(Recetas[Producto],Recetas[Materia Prima]=B69), FiltroCantidad,FILTER(Recetas[Cantidad],Recetas[Materia Prima]=B69),CantidadSalida,MAP(FiltroProducto,FiltroCantidad,LAMBDA(ePro,eCant,SUMPRODUCT((Ventas[Producto]=ePro)*1,Ventas[Can"&amp;"tidad])*eCant)),SUM(CantidadSalida))"),344.0)</f>
        <v>344</v>
      </c>
      <c r="H69" s="49"/>
      <c r="I69" s="40"/>
      <c r="J69" s="40"/>
      <c r="K69" s="40"/>
    </row>
    <row r="70" ht="22.5" customHeight="1">
      <c r="A70" s="66"/>
      <c r="B70" s="40" t="s">
        <v>136</v>
      </c>
      <c r="C70" s="40" t="s">
        <v>54</v>
      </c>
      <c r="D70" s="40"/>
      <c r="E70" s="39">
        <f>Materia_Prima[Entradas]-Materia_Prima[Salidas]</f>
        <v>1715</v>
      </c>
      <c r="F70" s="39">
        <f t="array" ref="F70">SUMIFS(Compras[Cantidad],Compras[Materia Prima],Materia_Prima[Materia prima])</f>
        <v>2051</v>
      </c>
      <c r="G70" s="39">
        <f>IFERROR(__xludf.DUMMYFUNCTION("LET(FiltroProducto,FILTER(Recetas[Producto],Recetas[Materia Prima]=B70), FiltroCantidad,FILTER(Recetas[Cantidad],Recetas[Materia Prima]=B70),CantidadSalida,MAP(FiltroProducto,FiltroCantidad,LAMBDA(ePro,eCant,SUMPRODUCT((Ventas[Producto]=ePro)*1,Ventas[Can"&amp;"tidad])*eCant)),SUM(CantidadSalida))"),336.0)</f>
        <v>336</v>
      </c>
      <c r="H70" s="49"/>
      <c r="I70" s="40"/>
      <c r="J70" s="40"/>
      <c r="K70" s="40"/>
    </row>
    <row r="71" ht="22.5" customHeight="1">
      <c r="A71" s="66"/>
      <c r="B71" s="40" t="s">
        <v>138</v>
      </c>
      <c r="C71" s="40" t="s">
        <v>54</v>
      </c>
      <c r="D71" s="40"/>
      <c r="E71" s="39">
        <f>Materia_Prima[Entradas]-Materia_Prima[Salidas]</f>
        <v>1211</v>
      </c>
      <c r="F71" s="39">
        <f t="array" ref="F71">SUMIFS(Compras[Cantidad],Compras[Materia Prima],Materia_Prima[Materia prima])</f>
        <v>3017</v>
      </c>
      <c r="G71" s="39">
        <f>IFERROR(__xludf.DUMMYFUNCTION("LET(FiltroProducto,FILTER(Recetas[Producto],Recetas[Materia Prima]=B71), FiltroCantidad,FILTER(Recetas[Cantidad],Recetas[Materia Prima]=B71),CantidadSalida,MAP(FiltroProducto,FiltroCantidad,LAMBDA(ePro,eCant,SUMPRODUCT((Ventas[Producto]=ePro)*1,Ventas[Can"&amp;"tidad])*eCant)),SUM(CantidadSalida))"),1806.0)</f>
        <v>1806</v>
      </c>
      <c r="H71" s="49"/>
      <c r="I71" s="40"/>
      <c r="J71" s="40"/>
      <c r="K71" s="40"/>
    </row>
    <row r="72" ht="22.5" customHeight="1">
      <c r="A72" s="66"/>
      <c r="B72" s="40" t="s">
        <v>142</v>
      </c>
      <c r="C72" s="40" t="s">
        <v>54</v>
      </c>
      <c r="D72" s="40"/>
      <c r="E72" s="39">
        <f>Materia_Prima[Entradas]-Materia_Prima[Salidas]</f>
        <v>839</v>
      </c>
      <c r="F72" s="39">
        <f t="array" ref="F72">SUMIFS(Compras[Cantidad],Compras[Materia Prima],Materia_Prima[Materia prima])</f>
        <v>1037</v>
      </c>
      <c r="G72" s="39">
        <f>IFERROR(__xludf.DUMMYFUNCTION("LET(FiltroProducto,FILTER(Recetas[Producto],Recetas[Materia Prima]=B72), FiltroCantidad,FILTER(Recetas[Cantidad],Recetas[Materia Prima]=B72),CantidadSalida,MAP(FiltroProducto,FiltroCantidad,LAMBDA(ePro,eCant,SUMPRODUCT((Ventas[Producto]=ePro)*1,Ventas[Can"&amp;"tidad])*eCant)),SUM(CantidadSalida))"),198.0)</f>
        <v>198</v>
      </c>
      <c r="H72" s="49"/>
      <c r="I72" s="40"/>
      <c r="J72" s="40"/>
      <c r="K72" s="40"/>
    </row>
    <row r="73" ht="22.5" customHeight="1">
      <c r="A73" s="66"/>
      <c r="B73" s="40" t="s">
        <v>145</v>
      </c>
      <c r="C73" s="40" t="s">
        <v>106</v>
      </c>
      <c r="D73" s="40"/>
      <c r="E73" s="39">
        <f>Materia_Prima[Entradas]-Materia_Prima[Salidas]</f>
        <v>3476</v>
      </c>
      <c r="F73" s="39">
        <f t="array" ref="F73">SUMIFS(Compras[Cantidad],Compras[Materia Prima],Materia_Prima[Materia prima])</f>
        <v>4000</v>
      </c>
      <c r="G73" s="39">
        <f>IFERROR(__xludf.DUMMYFUNCTION("LET(FiltroProducto,FILTER(Recetas[Producto],Recetas[Materia Prima]=B73), FiltroCantidad,FILTER(Recetas[Cantidad],Recetas[Materia Prima]=B73),CantidadSalida,MAP(FiltroProducto,FiltroCantidad,LAMBDA(ePro,eCant,SUMPRODUCT((Ventas[Producto]=ePro)*1,Ventas[Can"&amp;"tidad])*eCant)),SUM(CantidadSalida))"),524.0)</f>
        <v>524</v>
      </c>
      <c r="H73" s="49"/>
      <c r="I73" s="40"/>
      <c r="J73" s="40"/>
      <c r="K73" s="40"/>
    </row>
    <row r="74" ht="22.5" customHeight="1">
      <c r="A74" s="66"/>
      <c r="B74" s="40" t="s">
        <v>107</v>
      </c>
      <c r="C74" s="40" t="s">
        <v>54</v>
      </c>
      <c r="D74" s="40">
        <v>200.0</v>
      </c>
      <c r="E74" s="39">
        <f>Materia_Prima[Entradas]-Materia_Prima[Salidas]</f>
        <v>4911</v>
      </c>
      <c r="F74" s="39">
        <f t="array" ref="F74">SUMIFS(Compras[Cantidad],Compras[Materia Prima],Materia_Prima[Materia prima])</f>
        <v>8843</v>
      </c>
      <c r="G74" s="36">
        <f>IFERROR(__xludf.DUMMYFUNCTION("LET(FiltroProducto,FILTER(Recetas[Producto],Recetas[Materia Prima]=B74), FiltroCantidad,FILTER(Recetas[Cantidad],Recetas[Materia Prima]=B74),CantidadSalida,MAP(FiltroProducto,FiltroCantidad,LAMBDA(ePro,eCant,SUMPRODUCT((Ventas[Producto]=ePro)*1,Ventas[Can"&amp;"tidad])*eCant)),SUM(CantidadSalida))"),3932.0)</f>
        <v>3932</v>
      </c>
      <c r="H74" s="49">
        <v>13.3</v>
      </c>
      <c r="I74" s="40" t="s">
        <v>106</v>
      </c>
      <c r="J74" s="50"/>
      <c r="K74" s="50"/>
    </row>
    <row r="75" ht="22.5" customHeight="1">
      <c r="A75" s="66"/>
      <c r="B75" s="40" t="s">
        <v>113</v>
      </c>
      <c r="C75" s="40" t="s">
        <v>54</v>
      </c>
      <c r="D75" s="40">
        <v>200.0</v>
      </c>
      <c r="E75" s="39">
        <f>Materia_Prima[Entradas]-Materia_Prima[Salidas]</f>
        <v>273</v>
      </c>
      <c r="F75" s="39">
        <f t="array" ref="F75">SUMIFS(Compras[Cantidad],Compras[Materia Prima],Materia_Prima[Materia prima])</f>
        <v>3281</v>
      </c>
      <c r="G75" s="36">
        <f>IFERROR(__xludf.DUMMYFUNCTION("LET(FiltroProducto,FILTER(Recetas[Producto],Recetas[Materia Prima]=B75), FiltroCantidad,FILTER(Recetas[Cantidad],Recetas[Materia Prima]=B75),CantidadSalida,MAP(FiltroProducto,FiltroCantidad,LAMBDA(ePro,eCant,SUMPRODUCT((Ventas[Producto]=ePro)*1,Ventas[Can"&amp;"tidad])*eCant)),SUM(CantidadSalida))"),3008.0)</f>
        <v>3008</v>
      </c>
      <c r="H75" s="49">
        <v>10.0</v>
      </c>
      <c r="I75" s="40" t="s">
        <v>106</v>
      </c>
      <c r="J75" s="50"/>
      <c r="K75" s="50"/>
    </row>
    <row r="76" ht="22.5" customHeight="1">
      <c r="B76" s="40"/>
      <c r="C76" s="40"/>
      <c r="D76" s="40"/>
      <c r="E76" s="39" t="str">
        <f>Materia_Prima[Entradas]-Materia_Prima[Salidas]</f>
        <v>#N/A</v>
      </c>
      <c r="F76" s="39">
        <f t="array" ref="F76">SUMIFS(Compras[Cantidad],Compras[Materia Prima],Materia_Prima[Materia prima])</f>
        <v>0</v>
      </c>
      <c r="G76" s="36" t="str">
        <f>IFERROR(__xludf.DUMMYFUNCTION("LET(FiltroProducto,FILTER(Recetas[Producto],Recetas[Materia Prima]=B76), FiltroCantidad,FILTER(Recetas[Cantidad],Recetas[Materia Prima]=B76),CantidadSalida,MAP(FiltroProducto,FiltroCantidad,LAMBDA(ePro,eCant,SUMPRODUCT((Ventas[Producto]=ePro)*1,Ventas[Can"&amp;"tidad])*eCant)),SUM(CantidadSalida))"),"#N/A")</f>
        <v>#N/A</v>
      </c>
      <c r="H76" s="49"/>
      <c r="I76" s="40"/>
      <c r="J76" s="50"/>
      <c r="K76" s="50"/>
    </row>
    <row r="77" ht="22.5" customHeight="1">
      <c r="A77" s="67" t="s">
        <v>213</v>
      </c>
      <c r="B77" s="40" t="s">
        <v>127</v>
      </c>
      <c r="C77" s="40" t="s">
        <v>54</v>
      </c>
      <c r="D77" s="40">
        <v>100.0</v>
      </c>
      <c r="E77" s="39">
        <f>Materia_Prima[Entradas]-Materia_Prima[Salidas]</f>
        <v>18897</v>
      </c>
      <c r="F77" s="39">
        <f t="array" ref="F77">SUMIFS(Compras[Cantidad],Compras[Materia Prima],Materia_Prima[Materia prima])</f>
        <v>24040</v>
      </c>
      <c r="G77" s="39">
        <f>IFERROR(__xludf.DUMMYFUNCTION("LET(FiltroProducto,FILTER(Recetas[Producto],Recetas[Materia Prima]=B77), FiltroCantidad,FILTER(Recetas[Cantidad],Recetas[Materia Prima]=B77),CantidadSalida,MAP(FiltroProducto,FiltroCantidad,LAMBDA(ePro,eCant,SUMPRODUCT((Ventas[Producto]=ePro)*1,Ventas[Can"&amp;"tidad])*eCant)),SUM(CantidadSalida))"),5143.0)</f>
        <v>5143</v>
      </c>
      <c r="H77" s="54"/>
      <c r="I77" s="39"/>
      <c r="J77" s="39"/>
      <c r="K77" s="39"/>
    </row>
    <row r="78" ht="22.5" customHeight="1">
      <c r="A78" s="68"/>
      <c r="B78" s="40" t="s">
        <v>104</v>
      </c>
      <c r="C78" s="40" t="s">
        <v>54</v>
      </c>
      <c r="D78" s="40">
        <v>200.0</v>
      </c>
      <c r="E78" s="39">
        <f>Materia_Prima[Entradas]-Materia_Prima[Salidas]</f>
        <v>16267</v>
      </c>
      <c r="F78" s="39">
        <f t="array" ref="F78">SUMIFS(Compras[Cantidad],Compras[Materia Prima],Materia_Prima[Materia prima])</f>
        <v>24416</v>
      </c>
      <c r="G78" s="36">
        <f>IFERROR(__xludf.DUMMYFUNCTION("LET(FiltroProducto,FILTER(Recetas[Producto],Recetas[Materia Prima]=B78), FiltroCantidad,FILTER(Recetas[Cantidad],Recetas[Materia Prima]=B78),CantidadSalida,MAP(FiltroProducto,FiltroCantidad,LAMBDA(ePro,eCant,SUMPRODUCT((Ventas[Producto]=ePro)*1,Ventas[Can"&amp;"tidad])*eCant)),SUM(CantidadSalida))"),8149.0)</f>
        <v>8149</v>
      </c>
      <c r="H78" s="49">
        <v>2.4</v>
      </c>
      <c r="I78" s="40" t="s">
        <v>106</v>
      </c>
      <c r="J78" s="50"/>
      <c r="K78" s="50"/>
    </row>
    <row r="79" ht="22.5" customHeight="1">
      <c r="A79" s="68"/>
      <c r="B79" s="40" t="s">
        <v>112</v>
      </c>
      <c r="C79" s="40" t="s">
        <v>54</v>
      </c>
      <c r="D79" s="40">
        <v>200.0</v>
      </c>
      <c r="E79" s="39">
        <f>Materia_Prima[Entradas]-Materia_Prima[Salidas]</f>
        <v>1018</v>
      </c>
      <c r="F79" s="39">
        <f t="array" ref="F79">SUMIFS(Compras[Cantidad],Compras[Materia Prima],Materia_Prima[Materia prima])</f>
        <v>4026</v>
      </c>
      <c r="G79" s="36">
        <f>IFERROR(__xludf.DUMMYFUNCTION("LET(FiltroProducto,FILTER(Recetas[Producto],Recetas[Materia Prima]=B79), FiltroCantidad,FILTER(Recetas[Cantidad],Recetas[Materia Prima]=B79),CantidadSalida,MAP(FiltroProducto,FiltroCantidad,LAMBDA(ePro,eCant,SUMPRODUCT((Ventas[Producto]=ePro)*1,Ventas[Can"&amp;"tidad])*eCant)),SUM(CantidadSalida))"),3008.0)</f>
        <v>3008</v>
      </c>
      <c r="H79" s="49">
        <v>1.25</v>
      </c>
      <c r="I79" s="40" t="s">
        <v>106</v>
      </c>
      <c r="J79" s="40"/>
      <c r="K79" s="40"/>
    </row>
    <row r="80" ht="22.5" customHeight="1">
      <c r="H80" s="69"/>
    </row>
    <row r="81" ht="22.5" customHeight="1">
      <c r="B81" s="40"/>
      <c r="C81" s="40"/>
      <c r="D81" s="40"/>
      <c r="E81" s="39"/>
      <c r="F81" s="39"/>
      <c r="G81" s="39"/>
      <c r="H81" s="54"/>
      <c r="I81" s="39"/>
      <c r="J81" s="39"/>
      <c r="K81" s="39"/>
    </row>
    <row r="82">
      <c r="H82" s="44"/>
    </row>
    <row r="83">
      <c r="H83" s="44"/>
    </row>
    <row r="84">
      <c r="H84" s="44"/>
    </row>
    <row r="85">
      <c r="H85" s="44"/>
    </row>
    <row r="86">
      <c r="H86" s="44"/>
    </row>
    <row r="87">
      <c r="H87" s="44"/>
    </row>
    <row r="88">
      <c r="H88" s="44"/>
    </row>
    <row r="89">
      <c r="H89" s="44"/>
    </row>
    <row r="90">
      <c r="H90" s="44"/>
    </row>
    <row r="91">
      <c r="H91" s="44"/>
    </row>
    <row r="92">
      <c r="H92" s="44"/>
    </row>
    <row r="93">
      <c r="H93" s="44"/>
    </row>
    <row r="94">
      <c r="H94" s="44"/>
    </row>
    <row r="95">
      <c r="H95" s="44"/>
    </row>
    <row r="96">
      <c r="H96" s="44"/>
    </row>
    <row r="97">
      <c r="H97" s="44"/>
    </row>
    <row r="98">
      <c r="H98" s="44"/>
    </row>
    <row r="99">
      <c r="H99" s="44"/>
    </row>
    <row r="100">
      <c r="H100" s="44"/>
    </row>
    <row r="101">
      <c r="H101" s="44"/>
    </row>
    <row r="102">
      <c r="H102" s="44"/>
    </row>
    <row r="103">
      <c r="H103" s="44"/>
    </row>
    <row r="104">
      <c r="H104" s="44"/>
    </row>
    <row r="105">
      <c r="H105" s="44"/>
    </row>
    <row r="106">
      <c r="H106" s="44"/>
    </row>
    <row r="107">
      <c r="H107" s="44"/>
    </row>
    <row r="108">
      <c r="H108" s="44"/>
    </row>
    <row r="109">
      <c r="H109" s="44"/>
    </row>
    <row r="110">
      <c r="H110" s="44"/>
    </row>
    <row r="111">
      <c r="H111" s="44"/>
    </row>
    <row r="112">
      <c r="H112" s="44"/>
    </row>
    <row r="113">
      <c r="H113" s="44"/>
    </row>
    <row r="114">
      <c r="H114" s="44"/>
    </row>
    <row r="115">
      <c r="H115" s="44"/>
    </row>
    <row r="116">
      <c r="H116" s="44"/>
    </row>
    <row r="117">
      <c r="H117" s="44"/>
    </row>
    <row r="118">
      <c r="H118" s="44"/>
    </row>
    <row r="119">
      <c r="H119" s="44"/>
    </row>
    <row r="120">
      <c r="H120" s="44"/>
    </row>
    <row r="121">
      <c r="H121" s="44"/>
    </row>
    <row r="122">
      <c r="H122" s="44"/>
    </row>
    <row r="123">
      <c r="H123" s="44"/>
    </row>
    <row r="124">
      <c r="H124" s="44"/>
    </row>
    <row r="125">
      <c r="H125" s="44"/>
    </row>
    <row r="126">
      <c r="H126" s="44"/>
    </row>
    <row r="127">
      <c r="H127" s="44"/>
    </row>
    <row r="128">
      <c r="H128" s="44"/>
    </row>
    <row r="129">
      <c r="H129" s="44"/>
    </row>
    <row r="130">
      <c r="H130" s="44"/>
    </row>
    <row r="131">
      <c r="H131" s="44"/>
    </row>
    <row r="132">
      <c r="H132" s="44"/>
    </row>
    <row r="133">
      <c r="H133" s="44"/>
    </row>
    <row r="134">
      <c r="H134" s="44"/>
    </row>
    <row r="135">
      <c r="H135" s="44"/>
    </row>
    <row r="136">
      <c r="H136" s="44"/>
    </row>
    <row r="137">
      <c r="H137" s="44"/>
    </row>
    <row r="138">
      <c r="H138" s="44"/>
    </row>
    <row r="139">
      <c r="H139" s="44"/>
    </row>
    <row r="140">
      <c r="H140" s="44"/>
    </row>
    <row r="141">
      <c r="H141" s="44"/>
    </row>
    <row r="142">
      <c r="H142" s="44"/>
    </row>
    <row r="143">
      <c r="H143" s="44"/>
    </row>
    <row r="144">
      <c r="H144" s="44"/>
    </row>
    <row r="145">
      <c r="H145" s="44"/>
    </row>
    <row r="146">
      <c r="H146" s="44"/>
    </row>
    <row r="147">
      <c r="H147" s="44"/>
    </row>
    <row r="148">
      <c r="H148" s="44"/>
    </row>
    <row r="149">
      <c r="H149" s="44"/>
    </row>
    <row r="150">
      <c r="H150" s="44"/>
    </row>
    <row r="151">
      <c r="H151" s="44"/>
    </row>
    <row r="152">
      <c r="H152" s="44"/>
    </row>
    <row r="153">
      <c r="H153" s="44"/>
    </row>
    <row r="154">
      <c r="H154" s="44"/>
    </row>
    <row r="155">
      <c r="H155" s="44"/>
    </row>
    <row r="156">
      <c r="H156" s="44"/>
    </row>
    <row r="157">
      <c r="H157" s="44"/>
    </row>
    <row r="158">
      <c r="H158" s="44"/>
    </row>
    <row r="159">
      <c r="H159" s="44"/>
    </row>
    <row r="160">
      <c r="H160" s="44"/>
    </row>
    <row r="161">
      <c r="H161" s="44"/>
    </row>
    <row r="162">
      <c r="H162" s="44"/>
    </row>
    <row r="163">
      <c r="H163" s="44"/>
    </row>
    <row r="164">
      <c r="H164" s="44"/>
    </row>
    <row r="165">
      <c r="H165" s="44"/>
    </row>
    <row r="166">
      <c r="H166" s="44"/>
    </row>
    <row r="167">
      <c r="H167" s="44"/>
    </row>
    <row r="168">
      <c r="H168" s="44"/>
    </row>
    <row r="169">
      <c r="H169" s="44"/>
    </row>
    <row r="170">
      <c r="H170" s="44"/>
    </row>
    <row r="171">
      <c r="H171" s="44"/>
    </row>
    <row r="172">
      <c r="H172" s="44"/>
    </row>
    <row r="173">
      <c r="H173" s="44"/>
    </row>
    <row r="174">
      <c r="H174" s="44"/>
    </row>
    <row r="175">
      <c r="H175" s="44"/>
    </row>
    <row r="176">
      <c r="H176" s="44"/>
    </row>
    <row r="177">
      <c r="H177" s="44"/>
    </row>
    <row r="178">
      <c r="H178" s="44"/>
    </row>
    <row r="179">
      <c r="H179" s="44"/>
    </row>
    <row r="180">
      <c r="H180" s="44"/>
    </row>
    <row r="181">
      <c r="H181" s="44"/>
    </row>
    <row r="182">
      <c r="H182" s="44"/>
    </row>
    <row r="183">
      <c r="H183" s="44"/>
    </row>
    <row r="184">
      <c r="H184" s="44"/>
    </row>
    <row r="185">
      <c r="H185" s="44"/>
    </row>
    <row r="186">
      <c r="H186" s="44"/>
    </row>
    <row r="187">
      <c r="H187" s="44"/>
    </row>
    <row r="188">
      <c r="H188" s="44"/>
    </row>
    <row r="189">
      <c r="H189" s="44"/>
    </row>
    <row r="190">
      <c r="H190" s="44"/>
    </row>
    <row r="191">
      <c r="H191" s="44"/>
    </row>
    <row r="192">
      <c r="H192" s="44"/>
    </row>
    <row r="193">
      <c r="H193" s="44"/>
    </row>
    <row r="194">
      <c r="H194" s="44"/>
    </row>
    <row r="195">
      <c r="H195" s="44"/>
    </row>
    <row r="196">
      <c r="H196" s="44"/>
    </row>
    <row r="197">
      <c r="H197" s="44"/>
    </row>
    <row r="198">
      <c r="H198" s="44"/>
    </row>
    <row r="199">
      <c r="H199" s="44"/>
    </row>
    <row r="200">
      <c r="H200" s="44"/>
    </row>
    <row r="201">
      <c r="H201" s="44"/>
    </row>
    <row r="202">
      <c r="H202" s="44"/>
    </row>
    <row r="203">
      <c r="H203" s="44"/>
    </row>
    <row r="204">
      <c r="H204" s="44"/>
    </row>
    <row r="205">
      <c r="H205" s="44"/>
    </row>
    <row r="206">
      <c r="H206" s="44"/>
    </row>
    <row r="207">
      <c r="H207" s="44"/>
    </row>
    <row r="208">
      <c r="H208" s="44"/>
    </row>
    <row r="209">
      <c r="H209" s="44"/>
    </row>
    <row r="210">
      <c r="H210" s="44"/>
    </row>
    <row r="211">
      <c r="H211" s="44"/>
    </row>
    <row r="212">
      <c r="H212" s="44"/>
    </row>
    <row r="213">
      <c r="H213" s="44"/>
    </row>
    <row r="214">
      <c r="H214" s="44"/>
    </row>
    <row r="215">
      <c r="H215" s="44"/>
    </row>
    <row r="216">
      <c r="H216" s="44"/>
    </row>
    <row r="217">
      <c r="H217" s="44"/>
    </row>
    <row r="218">
      <c r="H218" s="44"/>
    </row>
    <row r="219">
      <c r="H219" s="44"/>
    </row>
    <row r="220">
      <c r="H220" s="44"/>
    </row>
    <row r="221">
      <c r="H221" s="44"/>
    </row>
    <row r="222">
      <c r="H222" s="44"/>
    </row>
    <row r="223">
      <c r="H223" s="44"/>
    </row>
    <row r="224">
      <c r="H224" s="44"/>
    </row>
    <row r="225">
      <c r="H225" s="44"/>
    </row>
    <row r="226">
      <c r="H226" s="44"/>
    </row>
    <row r="227">
      <c r="H227" s="44"/>
    </row>
    <row r="228">
      <c r="H228" s="44"/>
    </row>
    <row r="229">
      <c r="H229" s="44"/>
    </row>
    <row r="230">
      <c r="H230" s="44"/>
    </row>
    <row r="231">
      <c r="H231" s="44"/>
    </row>
    <row r="232">
      <c r="H232" s="44"/>
    </row>
    <row r="233">
      <c r="H233" s="44"/>
    </row>
    <row r="234">
      <c r="H234" s="44"/>
    </row>
    <row r="235">
      <c r="H235" s="44"/>
    </row>
    <row r="236">
      <c r="H236" s="44"/>
    </row>
    <row r="237">
      <c r="H237" s="44"/>
    </row>
    <row r="238">
      <c r="H238" s="44"/>
    </row>
    <row r="239">
      <c r="H239" s="44"/>
    </row>
    <row r="240">
      <c r="H240" s="44"/>
    </row>
    <row r="241">
      <c r="H241" s="44"/>
    </row>
    <row r="242">
      <c r="H242" s="44"/>
    </row>
    <row r="243">
      <c r="H243" s="44"/>
    </row>
    <row r="244">
      <c r="H244" s="44"/>
    </row>
    <row r="245">
      <c r="H245" s="44"/>
    </row>
    <row r="246">
      <c r="H246" s="44"/>
    </row>
    <row r="247">
      <c r="H247" s="44"/>
    </row>
    <row r="248">
      <c r="H248" s="44"/>
    </row>
    <row r="249">
      <c r="H249" s="44"/>
    </row>
    <row r="250">
      <c r="H250" s="44"/>
    </row>
    <row r="251">
      <c r="H251" s="44"/>
    </row>
    <row r="252">
      <c r="H252" s="44"/>
    </row>
    <row r="253">
      <c r="H253" s="44"/>
    </row>
    <row r="254">
      <c r="H254" s="44"/>
    </row>
    <row r="255">
      <c r="H255" s="44"/>
    </row>
    <row r="256">
      <c r="H256" s="44"/>
    </row>
    <row r="257">
      <c r="H257" s="44"/>
    </row>
    <row r="258">
      <c r="H258" s="44"/>
    </row>
    <row r="259">
      <c r="H259" s="44"/>
    </row>
    <row r="260">
      <c r="H260" s="44"/>
    </row>
    <row r="261">
      <c r="H261" s="44"/>
    </row>
    <row r="262">
      <c r="H262" s="44"/>
    </row>
    <row r="263">
      <c r="H263" s="44"/>
    </row>
    <row r="264">
      <c r="H264" s="44"/>
    </row>
    <row r="265">
      <c r="H265" s="44"/>
    </row>
    <row r="266">
      <c r="H266" s="44"/>
    </row>
    <row r="267">
      <c r="H267" s="44"/>
    </row>
    <row r="268">
      <c r="H268" s="44"/>
    </row>
    <row r="269">
      <c r="H269" s="44"/>
    </row>
    <row r="270">
      <c r="H270" s="44"/>
    </row>
    <row r="271">
      <c r="H271" s="44"/>
    </row>
    <row r="272">
      <c r="H272" s="44"/>
    </row>
    <row r="273">
      <c r="H273" s="44"/>
    </row>
    <row r="274">
      <c r="H274" s="44"/>
    </row>
    <row r="275">
      <c r="H275" s="44"/>
    </row>
    <row r="276">
      <c r="H276" s="44"/>
    </row>
    <row r="277">
      <c r="H277" s="44"/>
    </row>
    <row r="278">
      <c r="H278" s="44"/>
    </row>
    <row r="279">
      <c r="H279" s="44"/>
    </row>
    <row r="280">
      <c r="H280" s="44"/>
    </row>
    <row r="281">
      <c r="H281" s="44"/>
    </row>
    <row r="282">
      <c r="H282" s="44"/>
    </row>
    <row r="283">
      <c r="H283" s="44"/>
    </row>
    <row r="284">
      <c r="H284" s="44"/>
    </row>
    <row r="285">
      <c r="H285" s="44"/>
    </row>
    <row r="286">
      <c r="H286" s="44"/>
    </row>
    <row r="287">
      <c r="H287" s="44"/>
    </row>
    <row r="288">
      <c r="H288" s="44"/>
    </row>
    <row r="289">
      <c r="H289" s="44"/>
    </row>
    <row r="290">
      <c r="H290" s="44"/>
    </row>
    <row r="291">
      <c r="H291" s="44"/>
    </row>
    <row r="292">
      <c r="H292" s="44"/>
    </row>
    <row r="293">
      <c r="H293" s="44"/>
    </row>
    <row r="294">
      <c r="H294" s="44"/>
    </row>
    <row r="295">
      <c r="H295" s="44"/>
    </row>
    <row r="296">
      <c r="H296" s="44"/>
    </row>
    <row r="297">
      <c r="H297" s="44"/>
    </row>
    <row r="298">
      <c r="H298" s="44"/>
    </row>
    <row r="299">
      <c r="H299" s="44"/>
    </row>
    <row r="300">
      <c r="H300" s="44"/>
    </row>
    <row r="301">
      <c r="H301" s="44"/>
    </row>
    <row r="302">
      <c r="H302" s="44"/>
    </row>
    <row r="303">
      <c r="H303" s="44"/>
    </row>
    <row r="304">
      <c r="H304" s="44"/>
    </row>
    <row r="305">
      <c r="H305" s="44"/>
    </row>
    <row r="306">
      <c r="H306" s="44"/>
    </row>
    <row r="307">
      <c r="H307" s="44"/>
    </row>
    <row r="308">
      <c r="H308" s="44"/>
    </row>
    <row r="309">
      <c r="H309" s="44"/>
    </row>
    <row r="310">
      <c r="H310" s="44"/>
    </row>
    <row r="311">
      <c r="H311" s="44"/>
    </row>
    <row r="312">
      <c r="H312" s="44"/>
    </row>
    <row r="313">
      <c r="H313" s="44"/>
    </row>
    <row r="314">
      <c r="H314" s="44"/>
    </row>
    <row r="315">
      <c r="H315" s="44"/>
    </row>
    <row r="316">
      <c r="H316" s="44"/>
    </row>
    <row r="317">
      <c r="H317" s="44"/>
    </row>
    <row r="318">
      <c r="H318" s="44"/>
    </row>
    <row r="319">
      <c r="H319" s="44"/>
    </row>
    <row r="320">
      <c r="H320" s="44"/>
    </row>
    <row r="321">
      <c r="H321" s="44"/>
    </row>
    <row r="322">
      <c r="H322" s="44"/>
    </row>
    <row r="323">
      <c r="H323" s="44"/>
    </row>
    <row r="324">
      <c r="H324" s="44"/>
    </row>
    <row r="325">
      <c r="H325" s="44"/>
    </row>
    <row r="326">
      <c r="H326" s="44"/>
    </row>
    <row r="327">
      <c r="H327" s="44"/>
    </row>
    <row r="328">
      <c r="H328" s="44"/>
    </row>
    <row r="329">
      <c r="H329" s="44"/>
    </row>
    <row r="330">
      <c r="H330" s="44"/>
    </row>
    <row r="331">
      <c r="H331" s="44"/>
    </row>
    <row r="332">
      <c r="H332" s="44"/>
    </row>
    <row r="333">
      <c r="H333" s="44"/>
    </row>
    <row r="334">
      <c r="H334" s="44"/>
    </row>
    <row r="335">
      <c r="H335" s="44"/>
    </row>
    <row r="336">
      <c r="H336" s="44"/>
    </row>
    <row r="337">
      <c r="H337" s="44"/>
    </row>
    <row r="338">
      <c r="H338" s="44"/>
    </row>
    <row r="339">
      <c r="H339" s="44"/>
    </row>
    <row r="340">
      <c r="H340" s="44"/>
    </row>
    <row r="341">
      <c r="H341" s="44"/>
    </row>
    <row r="342">
      <c r="H342" s="44"/>
    </row>
    <row r="343">
      <c r="H343" s="44"/>
    </row>
    <row r="344">
      <c r="H344" s="44"/>
    </row>
    <row r="345">
      <c r="H345" s="44"/>
    </row>
    <row r="346">
      <c r="H346" s="44"/>
    </row>
    <row r="347">
      <c r="H347" s="44"/>
    </row>
    <row r="348">
      <c r="H348" s="44"/>
    </row>
    <row r="349">
      <c r="H349" s="44"/>
    </row>
    <row r="350">
      <c r="H350" s="44"/>
    </row>
    <row r="351">
      <c r="H351" s="44"/>
    </row>
    <row r="352">
      <c r="H352" s="44"/>
    </row>
    <row r="353">
      <c r="H353" s="44"/>
    </row>
    <row r="354">
      <c r="H354" s="44"/>
    </row>
    <row r="355">
      <c r="H355" s="44"/>
    </row>
    <row r="356">
      <c r="H356" s="44"/>
    </row>
    <row r="357">
      <c r="H357" s="44"/>
    </row>
    <row r="358">
      <c r="H358" s="44"/>
    </row>
    <row r="359">
      <c r="H359" s="44"/>
    </row>
    <row r="360">
      <c r="H360" s="44"/>
    </row>
    <row r="361">
      <c r="H361" s="44"/>
    </row>
    <row r="362">
      <c r="H362" s="44"/>
    </row>
    <row r="363">
      <c r="H363" s="44"/>
    </row>
    <row r="364">
      <c r="H364" s="44"/>
    </row>
    <row r="365">
      <c r="H365" s="44"/>
    </row>
    <row r="366">
      <c r="H366" s="44"/>
    </row>
    <row r="367">
      <c r="H367" s="44"/>
    </row>
    <row r="368">
      <c r="H368" s="44"/>
    </row>
    <row r="369">
      <c r="H369" s="44"/>
    </row>
    <row r="370">
      <c r="H370" s="44"/>
    </row>
    <row r="371">
      <c r="H371" s="44"/>
    </row>
    <row r="372">
      <c r="H372" s="44"/>
    </row>
    <row r="373">
      <c r="H373" s="44"/>
    </row>
    <row r="374">
      <c r="H374" s="44"/>
    </row>
    <row r="375">
      <c r="H375" s="44"/>
    </row>
    <row r="376">
      <c r="H376" s="44"/>
    </row>
    <row r="377">
      <c r="H377" s="44"/>
    </row>
    <row r="378">
      <c r="H378" s="44"/>
    </row>
    <row r="379">
      <c r="H379" s="44"/>
    </row>
    <row r="380">
      <c r="H380" s="44"/>
    </row>
    <row r="381">
      <c r="H381" s="44"/>
    </row>
    <row r="382">
      <c r="H382" s="44"/>
    </row>
    <row r="383">
      <c r="H383" s="44"/>
    </row>
    <row r="384">
      <c r="H384" s="44"/>
    </row>
    <row r="385">
      <c r="H385" s="44"/>
    </row>
    <row r="386">
      <c r="H386" s="44"/>
    </row>
    <row r="387">
      <c r="H387" s="44"/>
    </row>
    <row r="388">
      <c r="H388" s="44"/>
    </row>
    <row r="389">
      <c r="H389" s="44"/>
    </row>
    <row r="390">
      <c r="H390" s="44"/>
    </row>
    <row r="391">
      <c r="H391" s="44"/>
    </row>
    <row r="392">
      <c r="H392" s="44"/>
    </row>
    <row r="393">
      <c r="H393" s="44"/>
    </row>
    <row r="394">
      <c r="H394" s="44"/>
    </row>
    <row r="395">
      <c r="H395" s="44"/>
    </row>
    <row r="396">
      <c r="H396" s="44"/>
    </row>
    <row r="397">
      <c r="H397" s="44"/>
    </row>
    <row r="398">
      <c r="H398" s="44"/>
    </row>
    <row r="399">
      <c r="H399" s="44"/>
    </row>
    <row r="400">
      <c r="H400" s="44"/>
    </row>
    <row r="401">
      <c r="H401" s="44"/>
    </row>
    <row r="402">
      <c r="H402" s="44"/>
    </row>
    <row r="403">
      <c r="H403" s="44"/>
    </row>
    <row r="404">
      <c r="H404" s="44"/>
    </row>
    <row r="405">
      <c r="H405" s="44"/>
    </row>
    <row r="406">
      <c r="H406" s="44"/>
    </row>
    <row r="407">
      <c r="H407" s="44"/>
    </row>
    <row r="408">
      <c r="H408" s="44"/>
    </row>
    <row r="409">
      <c r="H409" s="44"/>
    </row>
    <row r="410">
      <c r="H410" s="44"/>
    </row>
    <row r="411">
      <c r="H411" s="44"/>
    </row>
    <row r="412">
      <c r="H412" s="44"/>
    </row>
    <row r="413">
      <c r="H413" s="44"/>
    </row>
    <row r="414">
      <c r="H414" s="44"/>
    </row>
    <row r="415">
      <c r="H415" s="44"/>
    </row>
    <row r="416">
      <c r="H416" s="44"/>
    </row>
    <row r="417">
      <c r="H417" s="44"/>
    </row>
    <row r="418">
      <c r="H418" s="44"/>
    </row>
    <row r="419">
      <c r="H419" s="44"/>
    </row>
    <row r="420">
      <c r="H420" s="44"/>
    </row>
    <row r="421">
      <c r="H421" s="44"/>
    </row>
    <row r="422">
      <c r="H422" s="44"/>
    </row>
    <row r="423">
      <c r="H423" s="44"/>
    </row>
    <row r="424">
      <c r="H424" s="44"/>
    </row>
    <row r="425">
      <c r="H425" s="44"/>
    </row>
    <row r="426">
      <c r="H426" s="44"/>
    </row>
    <row r="427">
      <c r="H427" s="44"/>
    </row>
    <row r="428">
      <c r="H428" s="44"/>
    </row>
    <row r="429">
      <c r="H429" s="44"/>
    </row>
    <row r="430">
      <c r="H430" s="44"/>
    </row>
    <row r="431">
      <c r="H431" s="44"/>
    </row>
    <row r="432">
      <c r="H432" s="44"/>
    </row>
    <row r="433">
      <c r="H433" s="44"/>
    </row>
    <row r="434">
      <c r="H434" s="44"/>
    </row>
    <row r="435">
      <c r="H435" s="44"/>
    </row>
    <row r="436">
      <c r="H436" s="44"/>
    </row>
    <row r="437">
      <c r="H437" s="44"/>
    </row>
    <row r="438">
      <c r="H438" s="44"/>
    </row>
    <row r="439">
      <c r="H439" s="44"/>
    </row>
    <row r="440">
      <c r="H440" s="44"/>
    </row>
    <row r="441">
      <c r="H441" s="44"/>
    </row>
    <row r="442">
      <c r="H442" s="44"/>
    </row>
    <row r="443">
      <c r="H443" s="44"/>
    </row>
    <row r="444">
      <c r="H444" s="44"/>
    </row>
    <row r="445">
      <c r="H445" s="44"/>
    </row>
    <row r="446">
      <c r="H446" s="44"/>
    </row>
    <row r="447">
      <c r="H447" s="44"/>
    </row>
    <row r="448">
      <c r="H448" s="44"/>
    </row>
    <row r="449">
      <c r="H449" s="44"/>
    </row>
    <row r="450">
      <c r="H450" s="44"/>
    </row>
    <row r="451">
      <c r="H451" s="44"/>
    </row>
    <row r="452">
      <c r="H452" s="44"/>
    </row>
    <row r="453">
      <c r="H453" s="44"/>
    </row>
    <row r="454">
      <c r="H454" s="44"/>
    </row>
    <row r="455">
      <c r="H455" s="44"/>
    </row>
    <row r="456">
      <c r="H456" s="44"/>
    </row>
    <row r="457">
      <c r="H457" s="44"/>
    </row>
    <row r="458">
      <c r="H458" s="44"/>
    </row>
    <row r="459">
      <c r="H459" s="44"/>
    </row>
    <row r="460">
      <c r="H460" s="44"/>
    </row>
    <row r="461">
      <c r="H461" s="44"/>
    </row>
    <row r="462">
      <c r="H462" s="44"/>
    </row>
    <row r="463">
      <c r="H463" s="44"/>
    </row>
    <row r="464">
      <c r="H464" s="44"/>
    </row>
    <row r="465">
      <c r="H465" s="44"/>
    </row>
    <row r="466">
      <c r="H466" s="44"/>
    </row>
    <row r="467">
      <c r="H467" s="44"/>
    </row>
    <row r="468">
      <c r="H468" s="44"/>
    </row>
    <row r="469">
      <c r="H469" s="44"/>
    </row>
    <row r="470">
      <c r="H470" s="44"/>
    </row>
    <row r="471">
      <c r="H471" s="44"/>
    </row>
    <row r="472">
      <c r="H472" s="44"/>
    </row>
    <row r="473">
      <c r="H473" s="44"/>
    </row>
    <row r="474">
      <c r="H474" s="44"/>
    </row>
    <row r="475">
      <c r="H475" s="44"/>
    </row>
    <row r="476">
      <c r="H476" s="44"/>
    </row>
    <row r="477">
      <c r="H477" s="44"/>
    </row>
    <row r="478">
      <c r="H478" s="44"/>
    </row>
    <row r="479">
      <c r="H479" s="44"/>
    </row>
    <row r="480">
      <c r="H480" s="44"/>
    </row>
    <row r="481">
      <c r="H481" s="44"/>
    </row>
    <row r="482">
      <c r="H482" s="44"/>
    </row>
    <row r="483">
      <c r="H483" s="44"/>
    </row>
    <row r="484">
      <c r="H484" s="44"/>
    </row>
    <row r="485">
      <c r="H485" s="44"/>
    </row>
    <row r="486">
      <c r="H486" s="44"/>
    </row>
    <row r="487">
      <c r="H487" s="44"/>
    </row>
    <row r="488">
      <c r="H488" s="44"/>
    </row>
    <row r="489">
      <c r="H489" s="44"/>
    </row>
    <row r="490">
      <c r="H490" s="44"/>
    </row>
    <row r="491">
      <c r="H491" s="44"/>
    </row>
    <row r="492">
      <c r="H492" s="44"/>
    </row>
    <row r="493">
      <c r="H493" s="44"/>
    </row>
    <row r="494">
      <c r="H494" s="44"/>
    </row>
    <row r="495">
      <c r="H495" s="44"/>
    </row>
    <row r="496">
      <c r="H496" s="44"/>
    </row>
    <row r="497">
      <c r="H497" s="44"/>
    </row>
    <row r="498">
      <c r="H498" s="44"/>
    </row>
    <row r="499">
      <c r="H499" s="44"/>
    </row>
    <row r="500">
      <c r="H500" s="44"/>
    </row>
    <row r="501">
      <c r="H501" s="44"/>
    </row>
    <row r="502">
      <c r="H502" s="44"/>
    </row>
    <row r="503">
      <c r="H503" s="44"/>
    </row>
    <row r="504">
      <c r="H504" s="44"/>
    </row>
    <row r="505">
      <c r="H505" s="44"/>
    </row>
    <row r="506">
      <c r="H506" s="44"/>
    </row>
    <row r="507">
      <c r="H507" s="44"/>
    </row>
    <row r="508">
      <c r="H508" s="44"/>
    </row>
    <row r="509">
      <c r="H509" s="44"/>
    </row>
    <row r="510">
      <c r="H510" s="44"/>
    </row>
    <row r="511">
      <c r="H511" s="44"/>
    </row>
    <row r="512">
      <c r="H512" s="44"/>
    </row>
    <row r="513">
      <c r="H513" s="44"/>
    </row>
    <row r="514">
      <c r="H514" s="44"/>
    </row>
    <row r="515">
      <c r="H515" s="44"/>
    </row>
    <row r="516">
      <c r="H516" s="44"/>
    </row>
    <row r="517">
      <c r="H517" s="44"/>
    </row>
    <row r="518">
      <c r="H518" s="44"/>
    </row>
    <row r="519">
      <c r="H519" s="44"/>
    </row>
    <row r="520">
      <c r="H520" s="44"/>
    </row>
    <row r="521">
      <c r="H521" s="44"/>
    </row>
    <row r="522">
      <c r="H522" s="44"/>
    </row>
    <row r="523">
      <c r="H523" s="44"/>
    </row>
    <row r="524">
      <c r="H524" s="44"/>
    </row>
    <row r="525">
      <c r="H525" s="44"/>
    </row>
    <row r="526">
      <c r="H526" s="44"/>
    </row>
    <row r="527">
      <c r="H527" s="44"/>
    </row>
    <row r="528">
      <c r="H528" s="44"/>
    </row>
    <row r="529">
      <c r="H529" s="44"/>
    </row>
    <row r="530">
      <c r="H530" s="44"/>
    </row>
    <row r="531">
      <c r="H531" s="44"/>
    </row>
    <row r="532">
      <c r="H532" s="44"/>
    </row>
    <row r="533">
      <c r="H533" s="44"/>
    </row>
    <row r="534">
      <c r="H534" s="44"/>
    </row>
    <row r="535">
      <c r="H535" s="44"/>
    </row>
    <row r="536">
      <c r="H536" s="44"/>
    </row>
    <row r="537">
      <c r="H537" s="44"/>
    </row>
    <row r="538">
      <c r="H538" s="44"/>
    </row>
    <row r="539">
      <c r="H539" s="44"/>
    </row>
    <row r="540">
      <c r="H540" s="44"/>
    </row>
    <row r="541">
      <c r="H541" s="44"/>
    </row>
    <row r="542">
      <c r="H542" s="44"/>
    </row>
    <row r="543">
      <c r="H543" s="44"/>
    </row>
    <row r="544">
      <c r="H544" s="44"/>
    </row>
    <row r="545">
      <c r="H545" s="44"/>
    </row>
    <row r="546">
      <c r="H546" s="44"/>
    </row>
    <row r="547">
      <c r="H547" s="44"/>
    </row>
    <row r="548">
      <c r="H548" s="44"/>
    </row>
    <row r="549">
      <c r="H549" s="44"/>
    </row>
    <row r="550">
      <c r="H550" s="44"/>
    </row>
    <row r="551">
      <c r="H551" s="44"/>
    </row>
    <row r="552">
      <c r="H552" s="44"/>
    </row>
    <row r="553">
      <c r="H553" s="44"/>
    </row>
    <row r="554">
      <c r="H554" s="44"/>
    </row>
    <row r="555">
      <c r="H555" s="44"/>
    </row>
    <row r="556">
      <c r="H556" s="44"/>
    </row>
    <row r="557">
      <c r="H557" s="44"/>
    </row>
    <row r="558">
      <c r="H558" s="44"/>
    </row>
    <row r="559">
      <c r="H559" s="44"/>
    </row>
    <row r="560">
      <c r="H560" s="44"/>
    </row>
    <row r="561">
      <c r="H561" s="44"/>
    </row>
    <row r="562">
      <c r="H562" s="44"/>
    </row>
    <row r="563">
      <c r="H563" s="44"/>
    </row>
    <row r="564">
      <c r="H564" s="44"/>
    </row>
    <row r="565">
      <c r="H565" s="44"/>
    </row>
    <row r="566">
      <c r="H566" s="44"/>
    </row>
    <row r="567">
      <c r="H567" s="44"/>
    </row>
    <row r="568">
      <c r="H568" s="44"/>
    </row>
    <row r="569">
      <c r="H569" s="44"/>
    </row>
    <row r="570">
      <c r="H570" s="44"/>
    </row>
    <row r="571">
      <c r="H571" s="44"/>
    </row>
    <row r="572">
      <c r="H572" s="44"/>
    </row>
    <row r="573">
      <c r="H573" s="44"/>
    </row>
    <row r="574">
      <c r="H574" s="44"/>
    </row>
    <row r="575">
      <c r="H575" s="44"/>
    </row>
    <row r="576">
      <c r="H576" s="44"/>
    </row>
    <row r="577">
      <c r="H577" s="44"/>
    </row>
    <row r="578">
      <c r="H578" s="44"/>
    </row>
    <row r="579">
      <c r="H579" s="44"/>
    </row>
    <row r="580">
      <c r="H580" s="44"/>
    </row>
    <row r="581">
      <c r="H581" s="44"/>
    </row>
    <row r="582">
      <c r="H582" s="44"/>
    </row>
    <row r="583">
      <c r="H583" s="44"/>
    </row>
    <row r="584">
      <c r="H584" s="44"/>
    </row>
    <row r="585">
      <c r="H585" s="44"/>
    </row>
    <row r="586">
      <c r="H586" s="44"/>
    </row>
    <row r="587">
      <c r="H587" s="44"/>
    </row>
    <row r="588">
      <c r="H588" s="44"/>
    </row>
    <row r="589">
      <c r="H589" s="44"/>
    </row>
    <row r="590">
      <c r="H590" s="44"/>
    </row>
    <row r="591">
      <c r="H591" s="44"/>
    </row>
    <row r="592">
      <c r="H592" s="44"/>
    </row>
    <row r="593">
      <c r="H593" s="44"/>
    </row>
    <row r="594">
      <c r="H594" s="44"/>
    </row>
    <row r="595">
      <c r="H595" s="44"/>
    </row>
    <row r="596">
      <c r="H596" s="44"/>
    </row>
    <row r="597">
      <c r="H597" s="44"/>
    </row>
    <row r="598">
      <c r="H598" s="44"/>
    </row>
    <row r="599">
      <c r="H599" s="44"/>
    </row>
    <row r="600">
      <c r="H600" s="44"/>
    </row>
    <row r="601">
      <c r="H601" s="44"/>
    </row>
    <row r="602">
      <c r="H602" s="44"/>
    </row>
    <row r="603">
      <c r="H603" s="44"/>
    </row>
    <row r="604">
      <c r="H604" s="44"/>
    </row>
    <row r="605">
      <c r="H605" s="44"/>
    </row>
    <row r="606">
      <c r="H606" s="44"/>
    </row>
    <row r="607">
      <c r="H607" s="44"/>
    </row>
    <row r="608">
      <c r="H608" s="44"/>
    </row>
    <row r="609">
      <c r="H609" s="44"/>
    </row>
    <row r="610">
      <c r="H610" s="44"/>
    </row>
    <row r="611">
      <c r="H611" s="44"/>
    </row>
    <row r="612">
      <c r="H612" s="44"/>
    </row>
    <row r="613">
      <c r="H613" s="44"/>
    </row>
    <row r="614">
      <c r="H614" s="44"/>
    </row>
    <row r="615">
      <c r="H615" s="44"/>
    </row>
    <row r="616">
      <c r="H616" s="44"/>
    </row>
    <row r="617">
      <c r="H617" s="44"/>
    </row>
    <row r="618">
      <c r="H618" s="44"/>
    </row>
    <row r="619">
      <c r="H619" s="44"/>
    </row>
    <row r="620">
      <c r="H620" s="44"/>
    </row>
    <row r="621">
      <c r="H621" s="44"/>
    </row>
    <row r="622">
      <c r="H622" s="44"/>
    </row>
    <row r="623">
      <c r="H623" s="44"/>
    </row>
    <row r="624">
      <c r="H624" s="44"/>
    </row>
    <row r="625">
      <c r="H625" s="44"/>
    </row>
    <row r="626">
      <c r="H626" s="44"/>
    </row>
    <row r="627">
      <c r="H627" s="44"/>
    </row>
    <row r="628">
      <c r="H628" s="44"/>
    </row>
    <row r="629">
      <c r="H629" s="44"/>
    </row>
    <row r="630">
      <c r="H630" s="44"/>
    </row>
    <row r="631">
      <c r="H631" s="44"/>
    </row>
    <row r="632">
      <c r="H632" s="44"/>
    </row>
    <row r="633">
      <c r="H633" s="44"/>
    </row>
    <row r="634">
      <c r="H634" s="44"/>
    </row>
    <row r="635">
      <c r="H635" s="44"/>
    </row>
    <row r="636">
      <c r="H636" s="44"/>
    </row>
    <row r="637">
      <c r="H637" s="44"/>
    </row>
    <row r="638">
      <c r="H638" s="44"/>
    </row>
    <row r="639">
      <c r="H639" s="44"/>
    </row>
    <row r="640">
      <c r="H640" s="44"/>
    </row>
    <row r="641">
      <c r="H641" s="44"/>
    </row>
    <row r="642">
      <c r="H642" s="44"/>
    </row>
    <row r="643">
      <c r="H643" s="44"/>
    </row>
    <row r="644">
      <c r="H644" s="44"/>
    </row>
    <row r="645">
      <c r="H645" s="44"/>
    </row>
    <row r="646">
      <c r="H646" s="44"/>
    </row>
    <row r="647">
      <c r="H647" s="44"/>
    </row>
    <row r="648">
      <c r="H648" s="44"/>
    </row>
    <row r="649">
      <c r="H649" s="44"/>
    </row>
    <row r="650">
      <c r="H650" s="44"/>
    </row>
    <row r="651">
      <c r="H651" s="44"/>
    </row>
    <row r="652">
      <c r="H652" s="44"/>
    </row>
    <row r="653">
      <c r="H653" s="44"/>
    </row>
    <row r="654">
      <c r="H654" s="44"/>
    </row>
    <row r="655">
      <c r="H655" s="44"/>
    </row>
    <row r="656">
      <c r="H656" s="44"/>
    </row>
    <row r="657">
      <c r="H657" s="44"/>
    </row>
    <row r="658">
      <c r="H658" s="44"/>
    </row>
    <row r="659">
      <c r="H659" s="44"/>
    </row>
    <row r="660">
      <c r="H660" s="44"/>
    </row>
    <row r="661">
      <c r="H661" s="44"/>
    </row>
    <row r="662">
      <c r="H662" s="44"/>
    </row>
    <row r="663">
      <c r="H663" s="44"/>
    </row>
    <row r="664">
      <c r="H664" s="44"/>
    </row>
    <row r="665">
      <c r="H665" s="44"/>
    </row>
    <row r="666">
      <c r="H666" s="44"/>
    </row>
    <row r="667">
      <c r="H667" s="44"/>
    </row>
    <row r="668">
      <c r="H668" s="44"/>
    </row>
    <row r="669">
      <c r="H669" s="44"/>
    </row>
    <row r="670">
      <c r="H670" s="44"/>
    </row>
    <row r="671">
      <c r="H671" s="44"/>
    </row>
    <row r="672">
      <c r="H672" s="44"/>
    </row>
    <row r="673">
      <c r="H673" s="44"/>
    </row>
    <row r="674">
      <c r="H674" s="44"/>
    </row>
    <row r="675">
      <c r="H675" s="44"/>
    </row>
    <row r="676">
      <c r="H676" s="44"/>
    </row>
    <row r="677">
      <c r="H677" s="44"/>
    </row>
    <row r="678">
      <c r="H678" s="44"/>
    </row>
    <row r="679">
      <c r="H679" s="44"/>
    </row>
    <row r="680">
      <c r="H680" s="44"/>
    </row>
    <row r="681">
      <c r="H681" s="44"/>
    </row>
    <row r="682">
      <c r="H682" s="44"/>
    </row>
    <row r="683">
      <c r="H683" s="44"/>
    </row>
    <row r="684">
      <c r="H684" s="44"/>
    </row>
    <row r="685">
      <c r="H685" s="44"/>
    </row>
    <row r="686">
      <c r="H686" s="44"/>
    </row>
    <row r="687">
      <c r="H687" s="44"/>
    </row>
    <row r="688">
      <c r="H688" s="44"/>
    </row>
    <row r="689">
      <c r="H689" s="44"/>
    </row>
    <row r="690">
      <c r="H690" s="44"/>
    </row>
    <row r="691">
      <c r="H691" s="44"/>
    </row>
    <row r="692">
      <c r="H692" s="44"/>
    </row>
    <row r="693">
      <c r="H693" s="44"/>
    </row>
    <row r="694">
      <c r="H694" s="44"/>
    </row>
    <row r="695">
      <c r="H695" s="44"/>
    </row>
    <row r="696">
      <c r="H696" s="44"/>
    </row>
    <row r="697">
      <c r="H697" s="44"/>
    </row>
    <row r="698">
      <c r="H698" s="44"/>
    </row>
    <row r="699">
      <c r="H699" s="44"/>
    </row>
    <row r="700">
      <c r="H700" s="44"/>
    </row>
    <row r="701">
      <c r="H701" s="44"/>
    </row>
    <row r="702">
      <c r="H702" s="44"/>
    </row>
    <row r="703">
      <c r="H703" s="44"/>
    </row>
    <row r="704">
      <c r="H704" s="44"/>
    </row>
    <row r="705">
      <c r="H705" s="44"/>
    </row>
    <row r="706">
      <c r="H706" s="44"/>
    </row>
    <row r="707">
      <c r="H707" s="44"/>
    </row>
    <row r="708">
      <c r="H708" s="44"/>
    </row>
    <row r="709">
      <c r="H709" s="44"/>
    </row>
    <row r="710">
      <c r="H710" s="44"/>
    </row>
    <row r="711">
      <c r="H711" s="44"/>
    </row>
    <row r="712">
      <c r="H712" s="44"/>
    </row>
    <row r="713">
      <c r="H713" s="44"/>
    </row>
    <row r="714">
      <c r="H714" s="44"/>
    </row>
    <row r="715">
      <c r="H715" s="44"/>
    </row>
    <row r="716">
      <c r="H716" s="44"/>
    </row>
    <row r="717">
      <c r="H717" s="44"/>
    </row>
    <row r="718">
      <c r="H718" s="44"/>
    </row>
    <row r="719">
      <c r="H719" s="44"/>
    </row>
    <row r="720">
      <c r="H720" s="44"/>
    </row>
    <row r="721">
      <c r="H721" s="44"/>
    </row>
    <row r="722">
      <c r="H722" s="44"/>
    </row>
    <row r="723">
      <c r="H723" s="44"/>
    </row>
    <row r="724">
      <c r="H724" s="44"/>
    </row>
    <row r="725">
      <c r="H725" s="44"/>
    </row>
    <row r="726">
      <c r="H726" s="44"/>
    </row>
    <row r="727">
      <c r="H727" s="44"/>
    </row>
    <row r="728">
      <c r="H728" s="44"/>
    </row>
    <row r="729">
      <c r="H729" s="44"/>
    </row>
    <row r="730">
      <c r="H730" s="44"/>
    </row>
    <row r="731">
      <c r="H731" s="44"/>
    </row>
    <row r="732">
      <c r="H732" s="44"/>
    </row>
    <row r="733">
      <c r="H733" s="44"/>
    </row>
    <row r="734">
      <c r="H734" s="44"/>
    </row>
    <row r="735">
      <c r="H735" s="44"/>
    </row>
    <row r="736">
      <c r="H736" s="44"/>
    </row>
    <row r="737">
      <c r="H737" s="44"/>
    </row>
    <row r="738">
      <c r="H738" s="44"/>
    </row>
    <row r="739">
      <c r="H739" s="44"/>
    </row>
    <row r="740">
      <c r="H740" s="44"/>
    </row>
    <row r="741">
      <c r="H741" s="44"/>
    </row>
    <row r="742">
      <c r="H742" s="44"/>
    </row>
    <row r="743">
      <c r="H743" s="44"/>
    </row>
    <row r="744">
      <c r="H744" s="44"/>
    </row>
    <row r="745">
      <c r="H745" s="44"/>
    </row>
    <row r="746">
      <c r="H746" s="44"/>
    </row>
    <row r="747">
      <c r="H747" s="44"/>
    </row>
    <row r="748">
      <c r="H748" s="44"/>
    </row>
    <row r="749">
      <c r="H749" s="44"/>
    </row>
    <row r="750">
      <c r="H750" s="44"/>
    </row>
    <row r="751">
      <c r="H751" s="44"/>
    </row>
    <row r="752">
      <c r="H752" s="44"/>
    </row>
    <row r="753">
      <c r="H753" s="44"/>
    </row>
    <row r="754">
      <c r="H754" s="44"/>
    </row>
    <row r="755">
      <c r="H755" s="44"/>
    </row>
    <row r="756">
      <c r="H756" s="44"/>
    </row>
    <row r="757">
      <c r="H757" s="44"/>
    </row>
    <row r="758">
      <c r="H758" s="44"/>
    </row>
    <row r="759">
      <c r="H759" s="44"/>
    </row>
    <row r="760">
      <c r="H760" s="44"/>
    </row>
    <row r="761">
      <c r="H761" s="44"/>
    </row>
    <row r="762">
      <c r="H762" s="44"/>
    </row>
    <row r="763">
      <c r="H763" s="44"/>
    </row>
    <row r="764">
      <c r="H764" s="44"/>
    </row>
    <row r="765">
      <c r="H765" s="44"/>
    </row>
    <row r="766">
      <c r="H766" s="44"/>
    </row>
    <row r="767">
      <c r="H767" s="44"/>
    </row>
    <row r="768">
      <c r="H768" s="44"/>
    </row>
    <row r="769">
      <c r="H769" s="44"/>
    </row>
    <row r="770">
      <c r="H770" s="44"/>
    </row>
    <row r="771">
      <c r="H771" s="44"/>
    </row>
    <row r="772">
      <c r="H772" s="44"/>
    </row>
    <row r="773">
      <c r="H773" s="44"/>
    </row>
    <row r="774">
      <c r="H774" s="44"/>
    </row>
    <row r="775">
      <c r="H775" s="44"/>
    </row>
    <row r="776">
      <c r="H776" s="44"/>
    </row>
    <row r="777">
      <c r="H777" s="44"/>
    </row>
    <row r="778">
      <c r="H778" s="44"/>
    </row>
    <row r="779">
      <c r="H779" s="44"/>
    </row>
    <row r="780">
      <c r="H780" s="44"/>
    </row>
    <row r="781">
      <c r="H781" s="44"/>
    </row>
    <row r="782">
      <c r="H782" s="44"/>
    </row>
    <row r="783">
      <c r="H783" s="44"/>
    </row>
    <row r="784">
      <c r="H784" s="44"/>
    </row>
    <row r="785">
      <c r="H785" s="44"/>
    </row>
    <row r="786">
      <c r="H786" s="44"/>
    </row>
    <row r="787">
      <c r="H787" s="44"/>
    </row>
    <row r="788">
      <c r="H788" s="44"/>
    </row>
    <row r="789">
      <c r="H789" s="44"/>
    </row>
    <row r="790">
      <c r="H790" s="44"/>
    </row>
    <row r="791">
      <c r="H791" s="44"/>
    </row>
    <row r="792">
      <c r="H792" s="44"/>
    </row>
    <row r="793">
      <c r="H793" s="44"/>
    </row>
    <row r="794">
      <c r="H794" s="44"/>
    </row>
    <row r="795">
      <c r="H795" s="44"/>
    </row>
    <row r="796">
      <c r="H796" s="44"/>
    </row>
    <row r="797">
      <c r="H797" s="44"/>
    </row>
    <row r="798">
      <c r="H798" s="44"/>
    </row>
    <row r="799">
      <c r="H799" s="44"/>
    </row>
    <row r="800">
      <c r="H800" s="44"/>
    </row>
    <row r="801">
      <c r="H801" s="44"/>
    </row>
    <row r="802">
      <c r="H802" s="44"/>
    </row>
    <row r="803">
      <c r="H803" s="44"/>
    </row>
    <row r="804">
      <c r="H804" s="44"/>
    </row>
    <row r="805">
      <c r="H805" s="44"/>
    </row>
    <row r="806">
      <c r="H806" s="44"/>
    </row>
    <row r="807">
      <c r="H807" s="44"/>
    </row>
    <row r="808">
      <c r="H808" s="44"/>
    </row>
    <row r="809">
      <c r="H809" s="44"/>
    </row>
    <row r="810">
      <c r="H810" s="44"/>
    </row>
    <row r="811">
      <c r="H811" s="44"/>
    </row>
    <row r="812">
      <c r="H812" s="44"/>
    </row>
    <row r="813">
      <c r="H813" s="44"/>
    </row>
    <row r="814">
      <c r="H814" s="44"/>
    </row>
    <row r="815">
      <c r="H815" s="44"/>
    </row>
    <row r="816">
      <c r="H816" s="44"/>
    </row>
    <row r="817">
      <c r="H817" s="44"/>
    </row>
    <row r="818">
      <c r="H818" s="44"/>
    </row>
    <row r="819">
      <c r="H819" s="44"/>
    </row>
    <row r="820">
      <c r="H820" s="44"/>
    </row>
    <row r="821">
      <c r="H821" s="44"/>
    </row>
    <row r="822">
      <c r="H822" s="44"/>
    </row>
    <row r="823">
      <c r="H823" s="44"/>
    </row>
    <row r="824">
      <c r="H824" s="44"/>
    </row>
    <row r="825">
      <c r="H825" s="44"/>
    </row>
    <row r="826">
      <c r="H826" s="44"/>
    </row>
    <row r="827">
      <c r="H827" s="44"/>
    </row>
    <row r="828">
      <c r="H828" s="44"/>
    </row>
    <row r="829">
      <c r="H829" s="44"/>
    </row>
    <row r="830">
      <c r="H830" s="44"/>
    </row>
    <row r="831">
      <c r="H831" s="44"/>
    </row>
    <row r="832">
      <c r="H832" s="44"/>
    </row>
    <row r="833">
      <c r="H833" s="44"/>
    </row>
    <row r="834">
      <c r="H834" s="44"/>
    </row>
    <row r="835">
      <c r="H835" s="44"/>
    </row>
    <row r="836">
      <c r="H836" s="44"/>
    </row>
    <row r="837">
      <c r="H837" s="44"/>
    </row>
    <row r="838">
      <c r="H838" s="44"/>
    </row>
    <row r="839">
      <c r="H839" s="44"/>
    </row>
    <row r="840">
      <c r="H840" s="44"/>
    </row>
    <row r="841">
      <c r="H841" s="44"/>
    </row>
    <row r="842">
      <c r="H842" s="44"/>
    </row>
    <row r="843">
      <c r="H843" s="44"/>
    </row>
    <row r="844">
      <c r="H844" s="44"/>
    </row>
    <row r="845">
      <c r="H845" s="44"/>
    </row>
    <row r="846">
      <c r="H846" s="44"/>
    </row>
    <row r="847">
      <c r="H847" s="44"/>
    </row>
    <row r="848">
      <c r="H848" s="44"/>
    </row>
    <row r="849">
      <c r="H849" s="44"/>
    </row>
    <row r="850">
      <c r="H850" s="44"/>
    </row>
    <row r="851">
      <c r="H851" s="44"/>
    </row>
    <row r="852">
      <c r="H852" s="44"/>
    </row>
    <row r="853">
      <c r="H853" s="44"/>
    </row>
    <row r="854">
      <c r="H854" s="44"/>
    </row>
    <row r="855">
      <c r="H855" s="44"/>
    </row>
    <row r="856">
      <c r="H856" s="44"/>
    </row>
    <row r="857">
      <c r="H857" s="44"/>
    </row>
    <row r="858">
      <c r="H858" s="44"/>
    </row>
    <row r="859">
      <c r="H859" s="44"/>
    </row>
    <row r="860">
      <c r="H860" s="44"/>
    </row>
    <row r="861">
      <c r="H861" s="44"/>
    </row>
    <row r="862">
      <c r="H862" s="44"/>
    </row>
    <row r="863">
      <c r="H863" s="44"/>
    </row>
    <row r="864">
      <c r="H864" s="44"/>
    </row>
    <row r="865">
      <c r="H865" s="44"/>
    </row>
    <row r="866">
      <c r="H866" s="44"/>
    </row>
    <row r="867">
      <c r="H867" s="44"/>
    </row>
    <row r="868">
      <c r="H868" s="44"/>
    </row>
    <row r="869">
      <c r="H869" s="44"/>
    </row>
    <row r="870">
      <c r="H870" s="44"/>
    </row>
    <row r="871">
      <c r="H871" s="44"/>
    </row>
    <row r="872">
      <c r="H872" s="44"/>
    </row>
    <row r="873">
      <c r="H873" s="44"/>
    </row>
    <row r="874">
      <c r="H874" s="44"/>
    </row>
    <row r="875">
      <c r="H875" s="44"/>
    </row>
    <row r="876">
      <c r="H876" s="44"/>
    </row>
    <row r="877">
      <c r="H877" s="44"/>
    </row>
    <row r="878">
      <c r="H878" s="44"/>
    </row>
    <row r="879">
      <c r="H879" s="44"/>
    </row>
    <row r="880">
      <c r="H880" s="44"/>
    </row>
    <row r="881">
      <c r="H881" s="44"/>
    </row>
    <row r="882">
      <c r="H882" s="44"/>
    </row>
    <row r="883">
      <c r="H883" s="44"/>
    </row>
    <row r="884">
      <c r="H884" s="44"/>
    </row>
    <row r="885">
      <c r="H885" s="44"/>
    </row>
    <row r="886">
      <c r="H886" s="44"/>
    </row>
    <row r="887">
      <c r="H887" s="44"/>
    </row>
    <row r="888">
      <c r="H888" s="44"/>
    </row>
    <row r="889">
      <c r="H889" s="44"/>
    </row>
    <row r="890">
      <c r="H890" s="44"/>
    </row>
    <row r="891">
      <c r="H891" s="44"/>
    </row>
    <row r="892">
      <c r="H892" s="44"/>
    </row>
    <row r="893">
      <c r="H893" s="44"/>
    </row>
    <row r="894">
      <c r="H894" s="44"/>
    </row>
    <row r="895">
      <c r="H895" s="44"/>
    </row>
    <row r="896">
      <c r="H896" s="44"/>
    </row>
    <row r="897">
      <c r="H897" s="44"/>
    </row>
    <row r="898">
      <c r="H898" s="44"/>
    </row>
    <row r="899">
      <c r="H899" s="44"/>
    </row>
    <row r="900">
      <c r="H900" s="44"/>
    </row>
    <row r="901">
      <c r="H901" s="44"/>
    </row>
    <row r="902">
      <c r="H902" s="44"/>
    </row>
    <row r="903">
      <c r="H903" s="44"/>
    </row>
    <row r="904">
      <c r="H904" s="44"/>
    </row>
    <row r="905">
      <c r="H905" s="44"/>
    </row>
    <row r="906">
      <c r="H906" s="44"/>
    </row>
    <row r="907">
      <c r="H907" s="44"/>
    </row>
    <row r="908">
      <c r="H908" s="44"/>
    </row>
    <row r="909">
      <c r="H909" s="44"/>
    </row>
    <row r="910">
      <c r="H910" s="44"/>
    </row>
    <row r="911">
      <c r="H911" s="44"/>
    </row>
    <row r="912">
      <c r="H912" s="44"/>
    </row>
    <row r="913">
      <c r="H913" s="44"/>
    </row>
    <row r="914">
      <c r="H914" s="44"/>
    </row>
    <row r="915">
      <c r="H915" s="44"/>
    </row>
    <row r="916">
      <c r="H916" s="44"/>
    </row>
    <row r="917">
      <c r="H917" s="44"/>
    </row>
    <row r="918">
      <c r="H918" s="44"/>
    </row>
    <row r="919">
      <c r="H919" s="44"/>
    </row>
    <row r="920">
      <c r="H920" s="44"/>
    </row>
    <row r="921">
      <c r="H921" s="44"/>
    </row>
    <row r="922">
      <c r="H922" s="44"/>
    </row>
    <row r="923">
      <c r="H923" s="44"/>
    </row>
    <row r="924">
      <c r="H924" s="44"/>
    </row>
    <row r="925">
      <c r="H925" s="44"/>
    </row>
    <row r="926">
      <c r="H926" s="44"/>
    </row>
    <row r="927">
      <c r="H927" s="44"/>
    </row>
    <row r="928">
      <c r="H928" s="44"/>
    </row>
    <row r="929">
      <c r="H929" s="44"/>
    </row>
    <row r="930">
      <c r="H930" s="44"/>
    </row>
    <row r="931">
      <c r="H931" s="44"/>
    </row>
    <row r="932">
      <c r="H932" s="44"/>
    </row>
    <row r="933">
      <c r="H933" s="44"/>
    </row>
    <row r="934">
      <c r="H934" s="44"/>
    </row>
    <row r="935">
      <c r="H935" s="44"/>
    </row>
    <row r="936">
      <c r="H936" s="44"/>
    </row>
    <row r="937">
      <c r="H937" s="44"/>
    </row>
    <row r="938">
      <c r="H938" s="44"/>
    </row>
    <row r="939">
      <c r="H939" s="44"/>
    </row>
    <row r="940">
      <c r="H940" s="44"/>
    </row>
    <row r="941">
      <c r="H941" s="44"/>
    </row>
    <row r="942">
      <c r="H942" s="44"/>
    </row>
    <row r="943">
      <c r="H943" s="44"/>
    </row>
    <row r="944">
      <c r="H944" s="44"/>
    </row>
    <row r="945">
      <c r="H945" s="44"/>
    </row>
    <row r="946">
      <c r="H946" s="44"/>
    </row>
    <row r="947">
      <c r="H947" s="44"/>
    </row>
    <row r="948">
      <c r="H948" s="44"/>
    </row>
    <row r="949">
      <c r="H949" s="44"/>
    </row>
    <row r="950">
      <c r="H950" s="44"/>
    </row>
    <row r="951">
      <c r="H951" s="44"/>
    </row>
    <row r="952">
      <c r="H952" s="44"/>
    </row>
    <row r="953">
      <c r="H953" s="44"/>
    </row>
    <row r="954">
      <c r="H954" s="44"/>
    </row>
    <row r="955">
      <c r="H955" s="44"/>
    </row>
    <row r="956">
      <c r="H956" s="44"/>
    </row>
    <row r="957">
      <c r="H957" s="44"/>
    </row>
    <row r="958">
      <c r="H958" s="44"/>
    </row>
    <row r="959">
      <c r="H959" s="44"/>
    </row>
    <row r="960">
      <c r="H960" s="44"/>
    </row>
    <row r="961">
      <c r="H961" s="44"/>
    </row>
    <row r="962">
      <c r="H962" s="44"/>
    </row>
    <row r="963">
      <c r="H963" s="44"/>
    </row>
    <row r="964">
      <c r="H964" s="44"/>
    </row>
    <row r="965">
      <c r="H965" s="44"/>
    </row>
    <row r="966">
      <c r="H966" s="44"/>
    </row>
    <row r="967">
      <c r="H967" s="44"/>
    </row>
    <row r="968">
      <c r="H968" s="44"/>
    </row>
    <row r="969">
      <c r="H969" s="44"/>
    </row>
    <row r="970">
      <c r="H970" s="44"/>
    </row>
    <row r="971">
      <c r="H971" s="44"/>
    </row>
    <row r="972">
      <c r="H972" s="44"/>
    </row>
    <row r="973">
      <c r="H973" s="44"/>
    </row>
    <row r="974">
      <c r="H974" s="44"/>
    </row>
    <row r="975">
      <c r="H975" s="44"/>
    </row>
    <row r="976">
      <c r="H976" s="44"/>
    </row>
    <row r="977">
      <c r="H977" s="44"/>
    </row>
    <row r="978">
      <c r="H978" s="44"/>
    </row>
    <row r="979">
      <c r="H979" s="44"/>
    </row>
    <row r="980">
      <c r="H980" s="44"/>
    </row>
    <row r="981">
      <c r="H981" s="44"/>
    </row>
    <row r="982">
      <c r="H982" s="44"/>
    </row>
    <row r="983">
      <c r="H983" s="44"/>
    </row>
    <row r="984">
      <c r="H984" s="44"/>
    </row>
    <row r="985">
      <c r="H985" s="44"/>
    </row>
    <row r="986">
      <c r="H986" s="44"/>
    </row>
    <row r="987">
      <c r="H987" s="44"/>
    </row>
    <row r="988">
      <c r="H988" s="44"/>
    </row>
    <row r="989">
      <c r="H989" s="44"/>
    </row>
    <row r="990">
      <c r="H990" s="44"/>
    </row>
    <row r="991">
      <c r="H991" s="44"/>
    </row>
    <row r="992">
      <c r="H992" s="44"/>
    </row>
    <row r="993">
      <c r="H993" s="44"/>
    </row>
    <row r="994">
      <c r="H994" s="44"/>
    </row>
    <row r="995">
      <c r="H995" s="44"/>
    </row>
    <row r="996">
      <c r="H996" s="44"/>
    </row>
    <row r="997">
      <c r="H997" s="44"/>
    </row>
    <row r="998">
      <c r="H998" s="44"/>
    </row>
    <row r="999">
      <c r="H999" s="44"/>
    </row>
    <row r="1000">
      <c r="H1000" s="44"/>
    </row>
    <row r="1001">
      <c r="H1001" s="44"/>
    </row>
    <row r="1002">
      <c r="H1002" s="44"/>
    </row>
    <row r="1003">
      <c r="H1003" s="44"/>
    </row>
    <row r="1004">
      <c r="H1004" s="44"/>
    </row>
    <row r="1005">
      <c r="H1005" s="44"/>
    </row>
    <row r="1006">
      <c r="H1006" s="44"/>
    </row>
    <row r="1007">
      <c r="H1007" s="44"/>
    </row>
    <row r="1008">
      <c r="H1008" s="44"/>
    </row>
    <row r="1009">
      <c r="H1009" s="44"/>
    </row>
    <row r="1010">
      <c r="H1010" s="44"/>
    </row>
    <row r="1011">
      <c r="H1011" s="44"/>
    </row>
    <row r="1012">
      <c r="H1012" s="44"/>
    </row>
    <row r="1013">
      <c r="H1013" s="44"/>
    </row>
    <row r="1014">
      <c r="H1014" s="44"/>
    </row>
    <row r="1015">
      <c r="H1015" s="44"/>
    </row>
    <row r="1016">
      <c r="H1016" s="44"/>
    </row>
    <row r="1017">
      <c r="H1017" s="44"/>
    </row>
    <row r="1018">
      <c r="H1018" s="44"/>
    </row>
    <row r="1019">
      <c r="H1019" s="44"/>
    </row>
    <row r="1020">
      <c r="H1020" s="44"/>
    </row>
    <row r="1021">
      <c r="H1021" s="44"/>
    </row>
    <row r="1022">
      <c r="H1022" s="44"/>
    </row>
    <row r="1023">
      <c r="H1023" s="44"/>
    </row>
    <row r="1024">
      <c r="H1024" s="44"/>
    </row>
    <row r="1025">
      <c r="H1025" s="44"/>
    </row>
    <row r="1026">
      <c r="H1026" s="44"/>
    </row>
    <row r="1027">
      <c r="H1027" s="44"/>
    </row>
  </sheetData>
  <conditionalFormatting sqref="N59">
    <cfRule type="expression" dxfId="6" priority="1">
      <formula>AND($E55&lt;=$D55,$E55&lt;&gt;"",$D55&lt;&gt;"")</formula>
    </cfRule>
  </conditionalFormatting>
  <conditionalFormatting sqref="E3:E1027">
    <cfRule type="expression" dxfId="6" priority="2">
      <formula>AND($E3&lt;=$D3,$E3&lt;&gt;"",$D3&lt;&gt;"")</formula>
    </cfRule>
  </conditionalFormatting>
  <conditionalFormatting sqref="C10">
    <cfRule type="notContainsBlanks" dxfId="5" priority="3">
      <formula>LEN(TRIM(C10))&gt;0</formula>
    </cfRule>
  </conditionalFormatting>
  <dataValidations>
    <dataValidation type="custom" allowBlank="1" showDropDown="1" sqref="H3:H81">
      <formula1>AND(ISNUMBER(H3),(NOT(OR(NOT(ISERROR(DATEVALUE(H3))), AND(ISNUMBER(H3), LEFT(CELL("format", H3))="D")))))</formula1>
    </dataValidation>
  </dataValidation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25"/>
    <col customWidth="1" min="3" max="3" width="36.25"/>
    <col customWidth="1" min="4" max="4" width="22.75"/>
    <col customWidth="1" min="7" max="7" width="26.25"/>
  </cols>
  <sheetData>
    <row r="1">
      <c r="A1" s="8"/>
    </row>
    <row r="2" ht="22.5" customHeight="1">
      <c r="B2" s="45" t="s">
        <v>150</v>
      </c>
      <c r="C2" s="45" t="s">
        <v>214</v>
      </c>
      <c r="D2" s="10" t="s">
        <v>46</v>
      </c>
      <c r="E2" s="45" t="s">
        <v>49</v>
      </c>
    </row>
    <row r="3" ht="22.5" customHeight="1">
      <c r="B3" s="33">
        <v>45720.0</v>
      </c>
      <c r="C3" s="38" t="s">
        <v>27</v>
      </c>
      <c r="D3" s="35" t="str">
        <f>Ventas[Codigo]</f>
        <v>Peonza pack mini (48mm)</v>
      </c>
      <c r="E3" s="40">
        <v>142.0</v>
      </c>
      <c r="G3" s="70"/>
    </row>
    <row r="4" ht="22.5" customHeight="1">
      <c r="B4" s="33">
        <v>45720.0</v>
      </c>
      <c r="C4" s="34" t="s">
        <v>26</v>
      </c>
      <c r="D4" s="39" t="str">
        <f>Ventas[Codigo]</f>
        <v>Peonza pack tradi (52mm)</v>
      </c>
      <c r="E4" s="40">
        <v>30.0</v>
      </c>
      <c r="G4" s="70"/>
    </row>
    <row r="5" ht="22.5" customHeight="1">
      <c r="B5" s="33">
        <v>45720.0</v>
      </c>
      <c r="C5" s="38" t="s">
        <v>32</v>
      </c>
      <c r="D5" s="39" t="str">
        <f>Ventas[Codigo]</f>
        <v>Solo tubo Flexi Vox (transparente)</v>
      </c>
      <c r="E5" s="40">
        <v>73.0</v>
      </c>
      <c r="G5" s="70"/>
    </row>
    <row r="6" ht="22.5" customHeight="1">
      <c r="B6" s="33">
        <v>45720.0</v>
      </c>
      <c r="C6" s="38" t="s">
        <v>35</v>
      </c>
      <c r="D6" s="39" t="str">
        <f>Ventas[Codigo]</f>
        <v>Set Flexi Vox (transparente)</v>
      </c>
      <c r="E6" s="40">
        <v>98.0</v>
      </c>
      <c r="G6" s="70"/>
    </row>
    <row r="7" ht="22.5" customHeight="1">
      <c r="B7" s="33">
        <v>45720.0</v>
      </c>
      <c r="C7" s="38" t="s">
        <v>26</v>
      </c>
      <c r="D7" s="39" t="str">
        <f>Ventas[Codigo]</f>
        <v>Peonza pack tradi (52mm)</v>
      </c>
      <c r="E7" s="40">
        <v>75.0</v>
      </c>
      <c r="G7" s="70"/>
    </row>
    <row r="8" ht="22.5" customHeight="1">
      <c r="B8" s="33">
        <v>45720.0</v>
      </c>
      <c r="C8" s="38" t="s">
        <v>27</v>
      </c>
      <c r="D8" s="39" t="str">
        <f>Ventas[Codigo]</f>
        <v>Peonza pack mini (48mm)</v>
      </c>
      <c r="E8" s="40">
        <v>52.0</v>
      </c>
      <c r="G8" s="70"/>
    </row>
    <row r="9" ht="22.5" customHeight="1">
      <c r="B9" s="33">
        <v>45720.0</v>
      </c>
      <c r="C9" s="38" t="s">
        <v>26</v>
      </c>
      <c r="D9" s="39" t="str">
        <f>Ventas[Codigo]</f>
        <v>Peonza pack tradi (52mm)</v>
      </c>
      <c r="E9" s="40">
        <v>120.0</v>
      </c>
      <c r="G9" s="70"/>
    </row>
    <row r="10" ht="22.5" customHeight="1">
      <c r="B10" s="42">
        <v>45720.0</v>
      </c>
      <c r="C10" s="38" t="s">
        <v>114</v>
      </c>
      <c r="D10" s="39" t="str">
        <f>Ventas[Codigo]</f>
        <v>Pegatina caja envio</v>
      </c>
      <c r="E10" s="40">
        <v>4.0</v>
      </c>
      <c r="G10" s="70"/>
    </row>
    <row r="11" ht="22.5" customHeight="1">
      <c r="B11" s="33" t="s">
        <v>215</v>
      </c>
      <c r="C11" s="38" t="s">
        <v>24</v>
      </c>
      <c r="D11" s="39" t="str">
        <f>Ventas[Codigo]</f>
        <v>200 Mix blister</v>
      </c>
      <c r="E11" s="40">
        <v>500.0</v>
      </c>
      <c r="G11" s="70"/>
    </row>
    <row r="12" ht="22.5" customHeight="1">
      <c r="B12" s="33" t="s">
        <v>215</v>
      </c>
      <c r="C12" s="38" t="s">
        <v>35</v>
      </c>
      <c r="D12" s="39" t="str">
        <f>Ventas[Codigo]</f>
        <v>Set Flexi Vox (transparente)</v>
      </c>
      <c r="E12" s="40">
        <f>74+134+112</f>
        <v>320</v>
      </c>
      <c r="G12" s="70"/>
    </row>
    <row r="13" ht="22.5" customHeight="1">
      <c r="B13" s="33" t="s">
        <v>215</v>
      </c>
      <c r="C13" s="38" t="s">
        <v>32</v>
      </c>
      <c r="D13" s="39" t="str">
        <f>Ventas[Codigo]</f>
        <v>Solo tubo Flexi Vox (transparente)</v>
      </c>
      <c r="E13" s="40">
        <v>200.0</v>
      </c>
      <c r="G13" s="70"/>
    </row>
    <row r="14" ht="22.5" customHeight="1">
      <c r="B14" s="33" t="s">
        <v>215</v>
      </c>
      <c r="C14" s="38" t="s">
        <v>24</v>
      </c>
      <c r="D14" s="39" t="str">
        <f>Ventas[Codigo]</f>
        <v>200 Mix blister</v>
      </c>
      <c r="E14" s="40">
        <v>400.0</v>
      </c>
      <c r="G14" s="70"/>
    </row>
    <row r="15" ht="22.5" customHeight="1">
      <c r="B15" s="42">
        <v>45726.0</v>
      </c>
      <c r="C15" s="38" t="s">
        <v>22</v>
      </c>
      <c r="D15" s="39" t="str">
        <f>Ventas[Codigo]</f>
        <v>250 pack 1e + 2 e</v>
      </c>
      <c r="E15" s="40">
        <f>64*3</f>
        <v>192</v>
      </c>
      <c r="G15" s="70"/>
    </row>
    <row r="16" ht="22.5" customHeight="1">
      <c r="B16" s="42">
        <v>45726.0</v>
      </c>
      <c r="C16" s="38" t="s">
        <v>23</v>
      </c>
      <c r="D16" s="39" t="str">
        <f>Ventas[Codigo]</f>
        <v>250 Blister 1e</v>
      </c>
      <c r="E16" s="40">
        <v>138.0</v>
      </c>
      <c r="G16" s="70"/>
    </row>
    <row r="17" ht="22.5" customHeight="1">
      <c r="B17" s="33" t="s">
        <v>215</v>
      </c>
      <c r="C17" s="38" t="s">
        <v>114</v>
      </c>
      <c r="D17" s="39" t="str">
        <f>Ventas[Codigo]</f>
        <v>Pegatina caja envio</v>
      </c>
      <c r="E17" s="40">
        <v>19.0</v>
      </c>
      <c r="G17" s="70"/>
    </row>
    <row r="18" ht="22.5" customHeight="1">
      <c r="B18" s="33" t="s">
        <v>216</v>
      </c>
      <c r="C18" s="38" t="s">
        <v>15</v>
      </c>
      <c r="D18" s="39" t="str">
        <f>Ventas[Codigo]</f>
        <v>125 Blister 1 euro</v>
      </c>
      <c r="E18" s="40">
        <v>232.0</v>
      </c>
      <c r="G18" s="70"/>
    </row>
    <row r="19" ht="22.5" customHeight="1">
      <c r="B19" s="33" t="s">
        <v>216</v>
      </c>
      <c r="C19" s="38" t="s">
        <v>103</v>
      </c>
      <c r="D19" s="39" t="str">
        <f>Ventas[Codigo]</f>
        <v>200g Menú Junior</v>
      </c>
      <c r="E19" s="40">
        <v>395.0</v>
      </c>
      <c r="G19" s="70"/>
    </row>
    <row r="20" ht="22.5" customHeight="1">
      <c r="B20" s="42">
        <v>45727.0</v>
      </c>
      <c r="C20" s="38" t="s">
        <v>114</v>
      </c>
      <c r="D20" s="39" t="str">
        <f>Ventas[Codigo]</f>
        <v>Pegatina caja envio</v>
      </c>
      <c r="E20" s="40">
        <v>7.0</v>
      </c>
      <c r="G20" s="70"/>
    </row>
    <row r="21" ht="22.5" customHeight="1">
      <c r="B21" s="42">
        <v>45700.0</v>
      </c>
      <c r="C21" s="38" t="s">
        <v>114</v>
      </c>
      <c r="D21" s="39" t="str">
        <f>Ventas[Codigo]</f>
        <v>Pegatina caja envio</v>
      </c>
      <c r="E21" s="40">
        <v>3.0</v>
      </c>
      <c r="G21" s="70"/>
    </row>
    <row r="22" ht="22.5" customHeight="1">
      <c r="B22" s="42">
        <v>45700.0</v>
      </c>
      <c r="C22" s="38" t="s">
        <v>35</v>
      </c>
      <c r="D22" s="39" t="str">
        <f>Ventas[Codigo]</f>
        <v>Set Flexi Vox (transparente)</v>
      </c>
      <c r="E22" s="40">
        <v>50.0</v>
      </c>
    </row>
    <row r="23" ht="22.5" customHeight="1">
      <c r="B23" s="42">
        <v>45700.0</v>
      </c>
      <c r="C23" s="38" t="s">
        <v>36</v>
      </c>
      <c r="D23" s="39" t="str">
        <f>Ventas[Codigo]</f>
        <v>Set Flexi Vox (rojo)</v>
      </c>
      <c r="E23" s="40">
        <v>94.0</v>
      </c>
    </row>
    <row r="24" ht="22.5" customHeight="1">
      <c r="B24" s="42">
        <v>45700.0</v>
      </c>
      <c r="C24" s="38" t="s">
        <v>37</v>
      </c>
      <c r="D24" s="39" t="str">
        <f>Ventas[Codigo]</f>
        <v>Set Flexi Vox (negro)</v>
      </c>
      <c r="E24" s="40">
        <v>75.0</v>
      </c>
    </row>
    <row r="25" ht="22.5" customHeight="1">
      <c r="B25" s="42">
        <v>45700.0</v>
      </c>
      <c r="C25" s="38" t="s">
        <v>26</v>
      </c>
      <c r="D25" s="39" t="str">
        <f>Ventas[Codigo]</f>
        <v>Peonza pack tradi (52mm)</v>
      </c>
      <c r="E25" s="40">
        <v>180.0</v>
      </c>
    </row>
    <row r="26" ht="22.5" customHeight="1">
      <c r="B26" s="42">
        <v>45700.0</v>
      </c>
      <c r="C26" s="38" t="s">
        <v>22</v>
      </c>
      <c r="D26" s="39" t="str">
        <f>Ventas[Codigo]</f>
        <v>250 pack 1e + 2 e</v>
      </c>
      <c r="E26" s="40">
        <v>72.0</v>
      </c>
    </row>
    <row r="27" ht="22.5" customHeight="1">
      <c r="B27" s="42">
        <v>45700.0</v>
      </c>
      <c r="C27" s="38" t="s">
        <v>14</v>
      </c>
      <c r="D27" s="39" t="str">
        <f>Ventas[Codigo]</f>
        <v>125 Blister 2 euro</v>
      </c>
      <c r="E27" s="40">
        <f>116+116+10</f>
        <v>242</v>
      </c>
    </row>
    <row r="28" ht="22.5" customHeight="1">
      <c r="B28" s="42">
        <v>45700.0</v>
      </c>
      <c r="C28" s="38" t="s">
        <v>217</v>
      </c>
      <c r="D28" s="39" t="str">
        <f>Ventas[Codigo]</f>
        <v>400 Mix blister</v>
      </c>
      <c r="E28" s="40">
        <f>34*3+33+7</f>
        <v>142</v>
      </c>
    </row>
    <row r="29" ht="22.5" customHeight="1">
      <c r="B29" s="42">
        <v>45700.0</v>
      </c>
      <c r="C29" s="38" t="s">
        <v>114</v>
      </c>
      <c r="D29" s="39" t="str">
        <f>Ventas[Codigo]</f>
        <v>Pegatina caja envio</v>
      </c>
      <c r="E29" s="40">
        <v>70.0</v>
      </c>
    </row>
    <row r="30" ht="22.5" customHeight="1">
      <c r="B30" s="42">
        <v>45729.0</v>
      </c>
      <c r="C30" s="38" t="s">
        <v>27</v>
      </c>
      <c r="D30" s="39" t="str">
        <f>Ventas[Codigo]</f>
        <v>Peonza pack mini (48mm)</v>
      </c>
      <c r="E30" s="40">
        <f>420/3</f>
        <v>140</v>
      </c>
    </row>
    <row r="31" ht="22.5" customHeight="1">
      <c r="B31" s="42">
        <v>45736.0</v>
      </c>
      <c r="C31" s="38" t="s">
        <v>5</v>
      </c>
      <c r="D31" s="39" t="str">
        <f>Ventas[Codigo]</f>
        <v>Calcio 4 pcs</v>
      </c>
      <c r="E31" s="40">
        <f>305+65</f>
        <v>370</v>
      </c>
    </row>
    <row r="32" ht="22.5" customHeight="1">
      <c r="B32" s="42">
        <v>45736.0</v>
      </c>
      <c r="C32" s="38" t="s">
        <v>6</v>
      </c>
      <c r="D32" s="39" t="str">
        <f>Ventas[Codigo]</f>
        <v>Calcio 8 pcs</v>
      </c>
      <c r="E32" s="40">
        <f>154+12</f>
        <v>166</v>
      </c>
    </row>
    <row r="33" ht="22.5" customHeight="1">
      <c r="B33" s="42">
        <v>45737.0</v>
      </c>
      <c r="C33" s="38" t="s">
        <v>14</v>
      </c>
      <c r="D33" s="39" t="str">
        <f>Ventas[Codigo]</f>
        <v>125 Blister 2 euro</v>
      </c>
      <c r="E33" s="40">
        <v>96.0</v>
      </c>
    </row>
    <row r="34" ht="22.5" customHeight="1">
      <c r="B34" s="42">
        <v>45737.0</v>
      </c>
      <c r="C34" s="38" t="s">
        <v>15</v>
      </c>
      <c r="D34" s="39" t="str">
        <f>Ventas[Codigo]</f>
        <v>125 Blister 1 euro</v>
      </c>
      <c r="E34" s="40">
        <v>96.0</v>
      </c>
    </row>
    <row r="35" ht="22.5" customHeight="1">
      <c r="B35" s="42">
        <v>45738.0</v>
      </c>
      <c r="C35" s="38" t="s">
        <v>15</v>
      </c>
      <c r="D35" s="39" t="str">
        <f>Ventas[Codigo]</f>
        <v>125 Blister 1 euro</v>
      </c>
      <c r="E35" s="40">
        <v>96.0</v>
      </c>
    </row>
    <row r="36" ht="22.5" customHeight="1">
      <c r="B36" s="42">
        <v>45740.0</v>
      </c>
      <c r="C36" s="38" t="s">
        <v>15</v>
      </c>
      <c r="D36" s="39" t="str">
        <f>Ventas[Codigo]</f>
        <v>125 Blister 1 euro</v>
      </c>
      <c r="E36" s="40">
        <v>96.0</v>
      </c>
    </row>
    <row r="37" ht="22.5" customHeight="1">
      <c r="B37" s="42">
        <v>45740.0</v>
      </c>
      <c r="C37" s="38" t="s">
        <v>26</v>
      </c>
      <c r="D37" s="39" t="str">
        <f>Ventas[Codigo]</f>
        <v>Peonza pack tradi (52mm)</v>
      </c>
      <c r="E37" s="40">
        <f>230+22+24</f>
        <v>276</v>
      </c>
    </row>
    <row r="38" ht="22.5" customHeight="1">
      <c r="B38" s="42">
        <v>45740.0</v>
      </c>
      <c r="C38" s="38" t="s">
        <v>27</v>
      </c>
      <c r="D38" s="39" t="str">
        <f>Ventas[Codigo]</f>
        <v>Peonza pack mini (48mm)</v>
      </c>
      <c r="E38" s="40">
        <f>62+22</f>
        <v>84</v>
      </c>
    </row>
    <row r="39" ht="22.5" customHeight="1">
      <c r="B39" s="42">
        <v>45743.0</v>
      </c>
      <c r="C39" s="38" t="s">
        <v>26</v>
      </c>
      <c r="D39" s="39" t="str">
        <f>Ventas[Codigo]</f>
        <v>Peonza pack tradi (52mm)</v>
      </c>
      <c r="E39" s="40">
        <f>112+34-47</f>
        <v>99</v>
      </c>
    </row>
    <row r="40" ht="22.5" customHeight="1">
      <c r="B40" s="42">
        <v>45744.0</v>
      </c>
      <c r="C40" s="38" t="s">
        <v>26</v>
      </c>
      <c r="D40" s="39" t="str">
        <f>Ventas[Codigo]</f>
        <v>Peonza pack tradi (52mm)</v>
      </c>
      <c r="E40" s="40">
        <v>84.0</v>
      </c>
    </row>
    <row r="41" ht="22.5" customHeight="1">
      <c r="B41" s="42">
        <v>45744.0</v>
      </c>
      <c r="C41" s="38" t="s">
        <v>17</v>
      </c>
      <c r="D41" s="39" t="str">
        <f>Ventas[Codigo]</f>
        <v>125 Blister 20 cts</v>
      </c>
      <c r="E41" s="40">
        <v>192.0</v>
      </c>
    </row>
    <row r="42" ht="22.5" customHeight="1">
      <c r="B42" s="42">
        <v>45747.0</v>
      </c>
      <c r="C42" s="38" t="s">
        <v>16</v>
      </c>
      <c r="D42" s="39" t="str">
        <f>Ventas[Codigo]</f>
        <v>125 Blister 50 cts</v>
      </c>
      <c r="E42" s="40">
        <v>72.0</v>
      </c>
    </row>
    <row r="43" ht="22.5" customHeight="1">
      <c r="B43" s="42">
        <v>45747.0</v>
      </c>
      <c r="C43" s="38" t="s">
        <v>18</v>
      </c>
      <c r="D43" s="39" t="str">
        <f>Ventas[Codigo]</f>
        <v>125 Blister 10 cts</v>
      </c>
      <c r="E43" s="40">
        <v>64.0</v>
      </c>
    </row>
    <row r="44" ht="22.5" customHeight="1">
      <c r="B44" s="42">
        <v>45749.0</v>
      </c>
      <c r="C44" s="38" t="s">
        <v>18</v>
      </c>
      <c r="D44" s="39" t="str">
        <f>Ventas[Codigo]</f>
        <v>125 Blister 10 cts</v>
      </c>
      <c r="E44" s="40">
        <v>225.0</v>
      </c>
    </row>
    <row r="45" ht="22.5" customHeight="1">
      <c r="B45" s="42">
        <v>45749.0</v>
      </c>
      <c r="C45" s="38" t="s">
        <v>118</v>
      </c>
      <c r="D45" s="39" t="str">
        <f>Ventas[Codigo]</f>
        <v>Pack 126 ceras</v>
      </c>
      <c r="E45" s="40">
        <v>96.0</v>
      </c>
    </row>
    <row r="46" ht="22.5" customHeight="1">
      <c r="B46" s="42">
        <v>45751.0</v>
      </c>
      <c r="C46" s="38" t="s">
        <v>16</v>
      </c>
      <c r="D46" s="39" t="str">
        <f>Ventas[Codigo]</f>
        <v>125 Blister 50 cts</v>
      </c>
      <c r="E46" s="40">
        <v>144.0</v>
      </c>
    </row>
    <row r="47" ht="22.5" customHeight="1">
      <c r="B47" s="42">
        <v>45751.0</v>
      </c>
      <c r="C47" s="38" t="s">
        <v>17</v>
      </c>
      <c r="D47" s="39" t="str">
        <f>Ventas[Codigo]</f>
        <v>125 Blister 20 cts</v>
      </c>
      <c r="E47" s="40">
        <v>96.0</v>
      </c>
    </row>
    <row r="48" ht="22.5" customHeight="1">
      <c r="B48" s="42">
        <v>45754.0</v>
      </c>
      <c r="C48" s="38" t="s">
        <v>22</v>
      </c>
      <c r="D48" s="39" t="str">
        <f>Ventas[Codigo]</f>
        <v>250 pack 1e + 2 e</v>
      </c>
      <c r="E48" s="40">
        <f>65*3</f>
        <v>195</v>
      </c>
    </row>
    <row r="49" ht="22.5" customHeight="1">
      <c r="B49" s="42">
        <v>45755.0</v>
      </c>
      <c r="C49" s="38" t="s">
        <v>14</v>
      </c>
      <c r="D49" s="39" t="str">
        <f>Ventas[Codigo]</f>
        <v>125 Blister 2 euro</v>
      </c>
      <c r="E49" s="40">
        <f>96*3-4-8</f>
        <v>276</v>
      </c>
    </row>
    <row r="50" ht="22.5" customHeight="1">
      <c r="B50" s="42">
        <v>45756.0</v>
      </c>
      <c r="C50" s="38" t="s">
        <v>15</v>
      </c>
      <c r="D50" s="39" t="str">
        <f>Ventas[Codigo]</f>
        <v>125 Blister 1 euro</v>
      </c>
      <c r="E50" s="40">
        <f>90+25</f>
        <v>115</v>
      </c>
    </row>
    <row r="51" ht="22.5" customHeight="1">
      <c r="B51" s="42">
        <v>45757.0</v>
      </c>
      <c r="C51" s="38" t="s">
        <v>103</v>
      </c>
      <c r="D51" s="39" t="str">
        <f>Ventas[Codigo]</f>
        <v>200g Menú Junior</v>
      </c>
      <c r="E51" s="40">
        <v>340.0</v>
      </c>
    </row>
    <row r="52" ht="22.5" customHeight="1">
      <c r="B52" s="42">
        <v>45760.0</v>
      </c>
      <c r="C52" s="38" t="s">
        <v>23</v>
      </c>
      <c r="D52" s="39" t="str">
        <f>Ventas[Codigo]</f>
        <v>250 Blister 1e</v>
      </c>
      <c r="E52" s="40">
        <v>35.0</v>
      </c>
    </row>
    <row r="53" ht="22.5" customHeight="1">
      <c r="B53" s="40" t="s">
        <v>155</v>
      </c>
      <c r="C53" s="38" t="s">
        <v>108</v>
      </c>
      <c r="D53" s="39" t="str">
        <f>Ventas[Codigo]</f>
        <v>75g Gammarus</v>
      </c>
      <c r="E53" s="40">
        <f>119+123</f>
        <v>242</v>
      </c>
    </row>
    <row r="54" ht="22.5" customHeight="1">
      <c r="B54" s="42">
        <v>45769.0</v>
      </c>
      <c r="C54" s="38" t="s">
        <v>26</v>
      </c>
      <c r="D54" s="39" t="str">
        <f>Ventas[Codigo]</f>
        <v>Peonza pack tradi (52mm)</v>
      </c>
      <c r="E54" s="40">
        <v>89.0</v>
      </c>
    </row>
    <row r="55" ht="22.5" customHeight="1">
      <c r="B55" s="42">
        <v>45769.0</v>
      </c>
      <c r="C55" s="38" t="s">
        <v>32</v>
      </c>
      <c r="D55" s="39" t="str">
        <f>Ventas[Codigo]</f>
        <v>Solo tubo Flexi Vox (transparente)</v>
      </c>
      <c r="E55" s="40">
        <v>253.0</v>
      </c>
    </row>
    <row r="56" ht="22.5" customHeight="1">
      <c r="B56" s="42">
        <v>45769.0</v>
      </c>
      <c r="C56" s="38" t="s">
        <v>27</v>
      </c>
      <c r="D56" s="39" t="str">
        <f>Ventas[Codigo]</f>
        <v>Peonza pack mini (48mm)</v>
      </c>
      <c r="E56" s="40">
        <v>53.0</v>
      </c>
    </row>
    <row r="57" ht="22.5" customHeight="1">
      <c r="B57" s="42">
        <v>45770.0</v>
      </c>
      <c r="C57" s="38" t="s">
        <v>35</v>
      </c>
      <c r="D57" s="39" t="str">
        <f>Ventas[Codigo]</f>
        <v>Set Flexi Vox (transparente)</v>
      </c>
      <c r="E57" s="40">
        <f>127+128+128</f>
        <v>383</v>
      </c>
    </row>
    <row r="58" ht="22.5" customHeight="1">
      <c r="B58" s="42">
        <v>45775.0</v>
      </c>
      <c r="C58" s="38" t="s">
        <v>35</v>
      </c>
      <c r="D58" s="39" t="str">
        <f>Ventas[Codigo]</f>
        <v>Set Flexi Vox (transparente)</v>
      </c>
      <c r="E58" s="40">
        <f>128+130+130</f>
        <v>388</v>
      </c>
    </row>
    <row r="59" ht="22.5" customHeight="1">
      <c r="B59" s="42">
        <v>45777.0</v>
      </c>
      <c r="C59" s="38" t="s">
        <v>14</v>
      </c>
      <c r="D59" s="39" t="str">
        <f>Ventas[Codigo]</f>
        <v>125 Blister 2 euro</v>
      </c>
      <c r="E59" s="40">
        <v>96.0</v>
      </c>
    </row>
    <row r="60" ht="22.5" customHeight="1">
      <c r="B60" s="42">
        <v>45777.0</v>
      </c>
      <c r="C60" s="38" t="s">
        <v>118</v>
      </c>
      <c r="D60" s="39" t="str">
        <f>Ventas[Codigo]</f>
        <v>Pack 126 ceras</v>
      </c>
      <c r="E60" s="40">
        <f>23+24</f>
        <v>47</v>
      </c>
    </row>
    <row r="61" ht="22.5" customHeight="1">
      <c r="B61" s="42">
        <v>45779.0</v>
      </c>
      <c r="C61" s="38" t="s">
        <v>14</v>
      </c>
      <c r="D61" s="39" t="str">
        <f>Ventas[Codigo]</f>
        <v>125 Blister 2 euro</v>
      </c>
      <c r="E61" s="40">
        <v>96.0</v>
      </c>
    </row>
    <row r="62" ht="22.5" customHeight="1">
      <c r="B62" s="42">
        <v>45785.0</v>
      </c>
      <c r="C62" s="38" t="s">
        <v>36</v>
      </c>
      <c r="D62" s="39" t="str">
        <f>Ventas[Codigo]</f>
        <v>Set Flexi Vox (rojo)</v>
      </c>
      <c r="E62" s="40">
        <f>128+128</f>
        <v>256</v>
      </c>
    </row>
    <row r="63" ht="22.5" customHeight="1">
      <c r="B63" s="42">
        <v>45785.0</v>
      </c>
      <c r="C63" s="38" t="s">
        <v>37</v>
      </c>
      <c r="D63" s="39" t="str">
        <f>Ventas[Codigo]</f>
        <v>Set Flexi Vox (negro)</v>
      </c>
      <c r="E63" s="40">
        <f>130+130</f>
        <v>260</v>
      </c>
    </row>
    <row r="64" ht="22.5" customHeight="1">
      <c r="B64" s="42">
        <v>45785.0</v>
      </c>
      <c r="C64" s="38" t="s">
        <v>33</v>
      </c>
      <c r="D64" s="39" t="str">
        <f>Ventas[Codigo]</f>
        <v>Solo tubo Flexi Vox (rojo)</v>
      </c>
      <c r="E64" s="40">
        <f>249</f>
        <v>249</v>
      </c>
    </row>
    <row r="65" ht="22.5" customHeight="1">
      <c r="B65" s="42">
        <v>45785.0</v>
      </c>
      <c r="C65" s="38" t="s">
        <v>34</v>
      </c>
      <c r="D65" s="39" t="str">
        <f>Ventas[Codigo]</f>
        <v>Solo tubo Flexi Vox (negro)</v>
      </c>
      <c r="E65" s="40">
        <f>250</f>
        <v>250</v>
      </c>
    </row>
    <row r="66" ht="22.5" customHeight="1">
      <c r="B66" s="42">
        <v>45785.0</v>
      </c>
      <c r="C66" s="38" t="s">
        <v>118</v>
      </c>
      <c r="D66" s="39" t="str">
        <f>Ventas[Codigo]</f>
        <v>Pack 126 ceras</v>
      </c>
      <c r="E66" s="40">
        <f>24*4+3</f>
        <v>99</v>
      </c>
    </row>
    <row r="67" ht="22.5" customHeight="1">
      <c r="B67" s="42">
        <v>45787.0</v>
      </c>
      <c r="C67" s="38" t="s">
        <v>23</v>
      </c>
      <c r="D67" s="39" t="str">
        <f>Ventas[Codigo]</f>
        <v>250 Blister 1e</v>
      </c>
      <c r="E67" s="40">
        <f>66*3</f>
        <v>198</v>
      </c>
    </row>
    <row r="68" ht="22.5" customHeight="1">
      <c r="B68" s="42">
        <v>45787.0</v>
      </c>
      <c r="C68" s="38" t="s">
        <v>22</v>
      </c>
      <c r="D68" s="39" t="str">
        <f>Ventas[Codigo]</f>
        <v>250 pack 1e + 2 e</v>
      </c>
      <c r="E68" s="40">
        <f>64+65+65+2</f>
        <v>196</v>
      </c>
    </row>
    <row r="69" ht="22.5" customHeight="1">
      <c r="B69" s="42">
        <v>45787.0</v>
      </c>
      <c r="C69" s="38" t="s">
        <v>15</v>
      </c>
      <c r="D69" s="39" t="str">
        <f>Ventas[Codigo]</f>
        <v>125 Blister 1 euro</v>
      </c>
      <c r="E69" s="40">
        <f>115+117</f>
        <v>232</v>
      </c>
    </row>
    <row r="70" ht="22.5" customHeight="1">
      <c r="B70" s="42">
        <v>45787.0</v>
      </c>
      <c r="C70" s="38" t="s">
        <v>14</v>
      </c>
      <c r="D70" s="39" t="str">
        <f>Ventas[Codigo]</f>
        <v>125 Blister 2 euro</v>
      </c>
      <c r="E70" s="40">
        <v>96.0</v>
      </c>
    </row>
    <row r="71" ht="22.5" customHeight="1">
      <c r="B71" s="42">
        <v>45789.0</v>
      </c>
      <c r="C71" s="38" t="s">
        <v>118</v>
      </c>
      <c r="D71" s="39" t="str">
        <f>Ventas[Codigo]</f>
        <v>Pack 126 ceras</v>
      </c>
      <c r="E71" s="40">
        <f>23+23+24+13</f>
        <v>83</v>
      </c>
    </row>
    <row r="72" ht="22.5" customHeight="1">
      <c r="B72" s="42">
        <v>45790.0</v>
      </c>
      <c r="C72" s="38" t="s">
        <v>217</v>
      </c>
      <c r="D72" s="39" t="str">
        <f>Ventas[Codigo]</f>
        <v>400 Mix blister</v>
      </c>
      <c r="E72" s="40">
        <f>34+4</f>
        <v>38</v>
      </c>
    </row>
    <row r="73" ht="22.5" customHeight="1">
      <c r="B73" s="42">
        <v>45792.0</v>
      </c>
      <c r="C73" s="38" t="s">
        <v>218</v>
      </c>
      <c r="D73" s="39" t="str">
        <f>Ventas[Codigo]</f>
        <v>Peonza pack boligrafo</v>
      </c>
      <c r="E73" s="40">
        <v>112.0</v>
      </c>
    </row>
    <row r="74" ht="22.5" customHeight="1">
      <c r="B74" s="40" t="s">
        <v>167</v>
      </c>
      <c r="C74" s="38" t="s">
        <v>108</v>
      </c>
      <c r="D74" s="39" t="str">
        <f>Ventas[Codigo]</f>
        <v>75g Gammarus</v>
      </c>
      <c r="E74" s="40">
        <v>-17.0</v>
      </c>
    </row>
    <row r="75" ht="22.5" customHeight="1">
      <c r="B75" s="40" t="s">
        <v>167</v>
      </c>
      <c r="C75" s="38" t="s">
        <v>37</v>
      </c>
      <c r="D75" s="39" t="str">
        <f>Ventas[Codigo]</f>
        <v>Set Flexi Vox (negro)</v>
      </c>
      <c r="E75" s="40">
        <v>2.0</v>
      </c>
    </row>
    <row r="76" ht="22.5" customHeight="1">
      <c r="B76" s="42">
        <v>45796.0</v>
      </c>
      <c r="C76" s="38" t="s">
        <v>103</v>
      </c>
      <c r="D76" s="39" t="str">
        <f>Ventas[Codigo]</f>
        <v>200g Menú Junior</v>
      </c>
      <c r="E76" s="40">
        <f>238+257</f>
        <v>495</v>
      </c>
    </row>
    <row r="77" ht="22.5" customHeight="1">
      <c r="B77" s="42">
        <v>45797.0</v>
      </c>
      <c r="C77" s="38" t="s">
        <v>26</v>
      </c>
      <c r="D77" s="39" t="str">
        <f>Ventas[Codigo]</f>
        <v>Peonza pack tradi (52mm)</v>
      </c>
      <c r="E77" s="40">
        <f>97+69+74+88</f>
        <v>328</v>
      </c>
    </row>
    <row r="78" ht="22.5" customHeight="1">
      <c r="B78" s="42">
        <v>45797.0</v>
      </c>
      <c r="C78" s="38" t="s">
        <v>218</v>
      </c>
      <c r="D78" s="39" t="str">
        <f>Ventas[Codigo]</f>
        <v>Peonza pack boligrafo</v>
      </c>
      <c r="E78" s="40">
        <v>90.0</v>
      </c>
    </row>
    <row r="79" ht="22.5" customHeight="1">
      <c r="B79" s="42">
        <v>45798.0</v>
      </c>
      <c r="C79" s="38" t="s">
        <v>32</v>
      </c>
      <c r="D79" s="39" t="str">
        <f>Ventas[Codigo]</f>
        <v>Solo tubo Flexi Vox (transparente)</v>
      </c>
      <c r="E79" s="40">
        <v>74.0</v>
      </c>
    </row>
    <row r="80" ht="22.5" customHeight="1">
      <c r="B80" s="42">
        <v>45798.0</v>
      </c>
      <c r="C80" s="38" t="s">
        <v>111</v>
      </c>
      <c r="D80" s="39" t="str">
        <f>Ventas[Codigo]</f>
        <v>150g Calcio en polvo</v>
      </c>
      <c r="E80" s="40">
        <v>250.0</v>
      </c>
    </row>
    <row r="81" ht="22.5" customHeight="1">
      <c r="B81" s="42">
        <v>45798.0</v>
      </c>
      <c r="C81" s="38" t="s">
        <v>118</v>
      </c>
      <c r="D81" s="39" t="str">
        <f>Ventas[Codigo]</f>
        <v>Pack 126 ceras</v>
      </c>
      <c r="E81" s="40">
        <v>15.0</v>
      </c>
    </row>
    <row r="82" ht="22.5" customHeight="1">
      <c r="B82" s="42">
        <v>45800.0</v>
      </c>
      <c r="C82" s="38" t="s">
        <v>118</v>
      </c>
      <c r="D82" s="39" t="str">
        <f>Ventas[Codigo]</f>
        <v>Pack 126 ceras</v>
      </c>
      <c r="E82" s="40">
        <v>178.0</v>
      </c>
    </row>
    <row r="83" ht="22.5" customHeight="1">
      <c r="B83" s="42">
        <v>45800.0</v>
      </c>
      <c r="C83" s="38" t="s">
        <v>120</v>
      </c>
      <c r="D83" s="39" t="str">
        <f>Ventas[Codigo]</f>
        <v>Caja 50 pack 4 lapices</v>
      </c>
      <c r="E83" s="40">
        <f>23+17</f>
        <v>40</v>
      </c>
    </row>
    <row r="84" ht="22.5" customHeight="1">
      <c r="B84" s="42">
        <v>45800.0</v>
      </c>
      <c r="C84" s="38" t="s">
        <v>123</v>
      </c>
      <c r="D84" s="39" t="str">
        <f>Ventas[Codigo]</f>
        <v>Caja 25 pack 6 lapices</v>
      </c>
      <c r="E84" s="40">
        <f>52+28</f>
        <v>80</v>
      </c>
    </row>
    <row r="85" ht="22.5" customHeight="1">
      <c r="B85" s="42">
        <v>45803.0</v>
      </c>
      <c r="C85" s="38" t="s">
        <v>5</v>
      </c>
      <c r="D85" s="39" t="str">
        <f>Ventas[Codigo]</f>
        <v>Calcio 4 pcs</v>
      </c>
      <c r="E85" s="40">
        <v>364.0</v>
      </c>
    </row>
    <row r="86" ht="22.5" customHeight="1">
      <c r="B86" s="42">
        <v>45804.0</v>
      </c>
      <c r="C86" s="38" t="s">
        <v>6</v>
      </c>
      <c r="D86" s="39" t="str">
        <f>Ventas[Codigo]</f>
        <v>Calcio 8 pcs</v>
      </c>
      <c r="E86" s="40">
        <f>168+33</f>
        <v>201</v>
      </c>
    </row>
    <row r="87" ht="22.5" customHeight="1">
      <c r="B87" s="42">
        <v>45804.0</v>
      </c>
      <c r="C87" s="38" t="s">
        <v>15</v>
      </c>
      <c r="D87" s="39" t="str">
        <f>Ventas[Codigo]</f>
        <v>125 Blister 1 euro</v>
      </c>
      <c r="E87" s="40">
        <f t="shared" ref="E87:E88" si="1">116</f>
        <v>116</v>
      </c>
    </row>
    <row r="88" ht="22.5" customHeight="1">
      <c r="B88" s="42">
        <v>45805.0</v>
      </c>
      <c r="C88" s="38" t="s">
        <v>14</v>
      </c>
      <c r="D88" s="39" t="str">
        <f>Ventas[Codigo]</f>
        <v>125 Blister 2 euro</v>
      </c>
      <c r="E88" s="40">
        <f t="shared" si="1"/>
        <v>116</v>
      </c>
    </row>
    <row r="89" ht="22.5" customHeight="1">
      <c r="B89" s="42">
        <v>45805.0</v>
      </c>
      <c r="C89" s="38" t="s">
        <v>24</v>
      </c>
      <c r="D89" s="39" t="str">
        <f>Ventas[Codigo]</f>
        <v>200 Mix blister</v>
      </c>
      <c r="E89" s="40">
        <v>144.0</v>
      </c>
    </row>
    <row r="90" ht="22.5" customHeight="1">
      <c r="B90" s="42">
        <v>45805.0</v>
      </c>
      <c r="C90" s="38" t="s">
        <v>23</v>
      </c>
      <c r="D90" s="39" t="str">
        <f>Ventas[Codigo]</f>
        <v>250 Blister 1e</v>
      </c>
      <c r="E90" s="40">
        <v>136.0</v>
      </c>
    </row>
    <row r="91" ht="22.5" customHeight="1">
      <c r="B91" s="42">
        <v>45806.0</v>
      </c>
      <c r="C91" s="38" t="s">
        <v>22</v>
      </c>
      <c r="D91" s="39" t="str">
        <f>Ventas[Codigo]</f>
        <v>250 pack 1e + 2 e</v>
      </c>
      <c r="E91" s="40">
        <v>132.0</v>
      </c>
    </row>
    <row r="92" ht="22.5" customHeight="1">
      <c r="B92" s="42">
        <v>45806.0</v>
      </c>
      <c r="C92" s="38" t="s">
        <v>7</v>
      </c>
      <c r="D92" s="39" t="str">
        <f>Ventas[Codigo]</f>
        <v>Calcio 15 pcs</v>
      </c>
      <c r="E92" s="40">
        <f>140+67</f>
        <v>207</v>
      </c>
    </row>
    <row r="93" ht="22.5" customHeight="1">
      <c r="B93" s="42">
        <v>45817.0</v>
      </c>
      <c r="C93" s="38" t="s">
        <v>24</v>
      </c>
      <c r="D93" s="39" t="str">
        <f>Ventas[Codigo]</f>
        <v>200 Mix blister</v>
      </c>
      <c r="E93" s="40">
        <f>36*5</f>
        <v>180</v>
      </c>
    </row>
    <row r="94" ht="22.5" customHeight="1">
      <c r="B94" s="42">
        <v>45817.0</v>
      </c>
      <c r="C94" s="38" t="s">
        <v>108</v>
      </c>
      <c r="D94" s="39" t="str">
        <f>Ventas[Codigo]</f>
        <v>75g Gammarus</v>
      </c>
      <c r="E94" s="40">
        <v>105.0</v>
      </c>
    </row>
    <row r="95" ht="22.5" customHeight="1">
      <c r="B95" s="42">
        <v>45818.0</v>
      </c>
      <c r="C95" s="38" t="s">
        <v>24</v>
      </c>
      <c r="D95" s="39" t="str">
        <f>Ventas[Codigo]</f>
        <v>200 Mix blister</v>
      </c>
      <c r="E95" s="40">
        <f>66*6+9</f>
        <v>405</v>
      </c>
    </row>
    <row r="96" ht="22.5" customHeight="1">
      <c r="B96" s="42">
        <v>45818.0</v>
      </c>
      <c r="C96" s="38" t="s">
        <v>120</v>
      </c>
      <c r="D96" s="39" t="str">
        <f>Ventas[Codigo]</f>
        <v>Caja 50 pack 4 lapices</v>
      </c>
      <c r="E96" s="40">
        <v>40.0</v>
      </c>
    </row>
    <row r="97" ht="22.5" customHeight="1">
      <c r="B97" s="42">
        <v>45818.0</v>
      </c>
      <c r="C97" s="38" t="s">
        <v>123</v>
      </c>
      <c r="D97" s="39" t="str">
        <f>Ventas[Codigo]</f>
        <v>Caja 25 pack 6 lapices</v>
      </c>
      <c r="E97" s="40">
        <v>80.0</v>
      </c>
    </row>
    <row r="98" ht="22.5" customHeight="1">
      <c r="B98" s="42">
        <v>45819.0</v>
      </c>
      <c r="C98" s="38" t="s">
        <v>118</v>
      </c>
      <c r="D98" s="39" t="str">
        <f>Ventas[Codigo]</f>
        <v>Pack 126 ceras</v>
      </c>
      <c r="E98" s="40">
        <v>200.0</v>
      </c>
    </row>
    <row r="99" ht="22.5" customHeight="1">
      <c r="B99" s="42">
        <v>45821.0</v>
      </c>
      <c r="C99" s="38" t="s">
        <v>15</v>
      </c>
      <c r="D99" s="39" t="str">
        <f>Ventas[Codigo]</f>
        <v>125 Blister 1 euro</v>
      </c>
      <c r="E99" s="40">
        <v>560.0</v>
      </c>
    </row>
    <row r="100" ht="22.5" customHeight="1">
      <c r="B100" s="42">
        <v>45824.0</v>
      </c>
      <c r="C100" s="38" t="s">
        <v>217</v>
      </c>
      <c r="D100" s="39" t="str">
        <f>Ventas[Codigo]</f>
        <v>400 Mix blister</v>
      </c>
      <c r="E100" s="40">
        <f>35+35+36</f>
        <v>106</v>
      </c>
    </row>
    <row r="101" ht="22.5" customHeight="1">
      <c r="B101" s="42">
        <v>45824.0</v>
      </c>
      <c r="C101" s="38" t="s">
        <v>19</v>
      </c>
      <c r="D101" s="39" t="str">
        <f>Ventas[Codigo]</f>
        <v>125 Blister 5 cts</v>
      </c>
      <c r="E101" s="40">
        <v>50.0</v>
      </c>
    </row>
    <row r="102" ht="22.5" customHeight="1">
      <c r="B102" s="42">
        <v>45824.0</v>
      </c>
      <c r="C102" s="38" t="s">
        <v>20</v>
      </c>
      <c r="D102" s="39" t="str">
        <f>Ventas[Codigo]</f>
        <v>125 Blister 2 cts</v>
      </c>
      <c r="E102" s="40">
        <v>30.0</v>
      </c>
    </row>
    <row r="103" ht="22.5" customHeight="1">
      <c r="B103" s="42">
        <v>45824.0</v>
      </c>
      <c r="C103" s="38" t="s">
        <v>21</v>
      </c>
      <c r="D103" s="39" t="str">
        <f>Ventas[Codigo]</f>
        <v>125 Blister 1 cts</v>
      </c>
      <c r="E103" s="40">
        <v>30.0</v>
      </c>
    </row>
    <row r="104" ht="22.5" customHeight="1">
      <c r="B104" s="42">
        <v>45825.0</v>
      </c>
      <c r="C104" s="38" t="s">
        <v>7</v>
      </c>
      <c r="D104" s="39" t="str">
        <f>Ventas[Codigo]</f>
        <v>Calcio 15 pcs</v>
      </c>
      <c r="E104" s="40">
        <v>138.0</v>
      </c>
    </row>
    <row r="105" ht="22.5" customHeight="1">
      <c r="B105" s="42">
        <v>45825.0</v>
      </c>
      <c r="C105" s="38" t="s">
        <v>108</v>
      </c>
      <c r="D105" s="39" t="str">
        <f>Ventas[Codigo]</f>
        <v>75g Gammarus</v>
      </c>
      <c r="E105" s="40">
        <v>542.0</v>
      </c>
    </row>
    <row r="106" ht="22.5" customHeight="1">
      <c r="B106" s="42">
        <v>45826.0</v>
      </c>
      <c r="C106" s="38" t="s">
        <v>14</v>
      </c>
      <c r="D106" s="39" t="str">
        <f>Ventas[Codigo]</f>
        <v>125 Blister 2 euro</v>
      </c>
      <c r="E106" s="40">
        <f>116</f>
        <v>116</v>
      </c>
    </row>
    <row r="107" ht="22.5" customHeight="1">
      <c r="B107" s="42">
        <v>45826.0</v>
      </c>
      <c r="C107" s="38" t="s">
        <v>103</v>
      </c>
      <c r="D107" s="39" t="str">
        <f>Ventas[Codigo]</f>
        <v>200g Menú Junior</v>
      </c>
      <c r="E107" s="40">
        <v>102.0</v>
      </c>
    </row>
    <row r="108" ht="22.5" customHeight="1">
      <c r="B108" s="42">
        <v>45827.0</v>
      </c>
      <c r="C108" s="38" t="s">
        <v>103</v>
      </c>
      <c r="D108" s="39" t="str">
        <f>Ventas[Codigo]</f>
        <v>200g Menú Junior</v>
      </c>
      <c r="E108" s="40">
        <f>102+91-5</f>
        <v>188</v>
      </c>
    </row>
    <row r="109" ht="22.5" customHeight="1">
      <c r="B109" s="42">
        <v>45827.0</v>
      </c>
      <c r="C109" s="38" t="s">
        <v>14</v>
      </c>
      <c r="D109" s="39" t="str">
        <f>Ventas[Codigo]</f>
        <v>125 Blister 2 euro</v>
      </c>
      <c r="E109" s="40">
        <f>116+116+116+116</f>
        <v>464</v>
      </c>
    </row>
    <row r="110" ht="22.5" customHeight="1">
      <c r="B110" s="42">
        <v>45827.0</v>
      </c>
      <c r="C110" s="38" t="s">
        <v>23</v>
      </c>
      <c r="D110" s="39" t="str">
        <f>Ventas[Codigo]</f>
        <v>250 Blister 1e</v>
      </c>
      <c r="E110" s="40">
        <v>142.0</v>
      </c>
    </row>
    <row r="111" ht="22.5" customHeight="1">
      <c r="B111" s="42">
        <v>45828.0</v>
      </c>
      <c r="C111" s="38" t="s">
        <v>22</v>
      </c>
      <c r="D111" s="39" t="str">
        <f>Ventas[Codigo]</f>
        <v>250 pack 1e + 2 e</v>
      </c>
      <c r="E111" s="40">
        <f>68*4</f>
        <v>272</v>
      </c>
    </row>
    <row r="112" ht="22.5" customHeight="1">
      <c r="B112" s="42">
        <v>45828.0</v>
      </c>
      <c r="C112" s="38" t="s">
        <v>120</v>
      </c>
      <c r="D112" s="39" t="str">
        <f>Ventas[Codigo]</f>
        <v>Caja 50 pack 4 lapices</v>
      </c>
      <c r="E112" s="40">
        <v>100.0</v>
      </c>
    </row>
    <row r="113" ht="22.5" customHeight="1">
      <c r="B113" s="42">
        <v>45828.0</v>
      </c>
      <c r="C113" s="38" t="s">
        <v>123</v>
      </c>
      <c r="D113" s="39" t="str">
        <f>Ventas[Codigo]</f>
        <v>Caja 25 pack 6 lapices</v>
      </c>
      <c r="E113" s="40">
        <v>200.0</v>
      </c>
    </row>
    <row r="114" ht="22.5" customHeight="1">
      <c r="B114" s="42">
        <v>45832.0</v>
      </c>
      <c r="C114" s="38" t="s">
        <v>118</v>
      </c>
      <c r="D114" s="39" t="str">
        <f>Ventas[Codigo]</f>
        <v>Pack 126 ceras</v>
      </c>
      <c r="E114" s="40">
        <v>200.0</v>
      </c>
    </row>
    <row r="115" ht="22.5" customHeight="1">
      <c r="B115" s="42">
        <v>45832.0</v>
      </c>
      <c r="C115" s="38" t="s">
        <v>20</v>
      </c>
      <c r="D115" s="39" t="str">
        <f>Ventas[Codigo]</f>
        <v>125 Blister 2 cts</v>
      </c>
      <c r="E115" s="40">
        <v>122.0</v>
      </c>
    </row>
    <row r="116" ht="22.5" customHeight="1">
      <c r="B116" s="42">
        <v>45832.0</v>
      </c>
      <c r="C116" s="38" t="s">
        <v>21</v>
      </c>
      <c r="D116" s="39" t="str">
        <f>Ventas[Codigo]</f>
        <v>125 Blister 1 cts</v>
      </c>
      <c r="E116" s="40">
        <v>66.0</v>
      </c>
    </row>
    <row r="117" ht="22.5" customHeight="1">
      <c r="B117" s="42">
        <v>45832.0</v>
      </c>
      <c r="C117" s="38" t="s">
        <v>19</v>
      </c>
      <c r="D117" s="39" t="str">
        <f>Ventas[Codigo]</f>
        <v>125 Blister 5 cts</v>
      </c>
      <c r="E117" s="40">
        <v>94.0</v>
      </c>
    </row>
    <row r="118" ht="22.5" customHeight="1">
      <c r="B118" s="42">
        <v>45832.0</v>
      </c>
      <c r="C118" s="38" t="s">
        <v>18</v>
      </c>
      <c r="D118" s="39" t="str">
        <f>Ventas[Codigo]</f>
        <v>125 Blister 10 cts</v>
      </c>
      <c r="E118" s="40">
        <f>12+84+72</f>
        <v>168</v>
      </c>
    </row>
    <row r="119" ht="22.5" customHeight="1">
      <c r="B119" s="42">
        <v>45834.0</v>
      </c>
      <c r="C119" s="38" t="s">
        <v>16</v>
      </c>
      <c r="D119" s="39" t="str">
        <f>Ventas[Codigo]</f>
        <v>125 Blister 50 cts</v>
      </c>
      <c r="E119" s="40">
        <f>116+100</f>
        <v>216</v>
      </c>
    </row>
    <row r="120" ht="22.5" customHeight="1">
      <c r="B120" s="42">
        <v>45834.0</v>
      </c>
      <c r="C120" s="38" t="s">
        <v>17</v>
      </c>
      <c r="D120" s="39" t="str">
        <f>Ventas[Codigo]</f>
        <v>125 Blister 20 cts</v>
      </c>
      <c r="E120" s="40">
        <f>144+144</f>
        <v>288</v>
      </c>
    </row>
    <row r="121" ht="22.5" customHeight="1">
      <c r="B121" s="42">
        <v>45834.0</v>
      </c>
      <c r="C121" s="38" t="s">
        <v>15</v>
      </c>
      <c r="D121" s="39" t="str">
        <f>Ventas[Codigo]</f>
        <v>125 Blister 1 euro</v>
      </c>
      <c r="E121" s="40">
        <v>124.0</v>
      </c>
    </row>
    <row r="122" ht="22.5" customHeight="1">
      <c r="B122" s="42">
        <v>45835.0</v>
      </c>
      <c r="C122" s="38" t="s">
        <v>24</v>
      </c>
      <c r="D122" s="39" t="str">
        <f>Ventas[Codigo]</f>
        <v>200 Mix blister</v>
      </c>
      <c r="E122" s="40">
        <f>66*3+45</f>
        <v>243</v>
      </c>
    </row>
    <row r="123" ht="22.5" customHeight="1">
      <c r="B123" s="42">
        <v>45835.0</v>
      </c>
      <c r="C123" s="38" t="s">
        <v>217</v>
      </c>
      <c r="D123" s="39" t="str">
        <f>Ventas[Codigo]</f>
        <v>400 Mix blister</v>
      </c>
      <c r="E123" s="40">
        <f>5*35+9+13</f>
        <v>197</v>
      </c>
    </row>
    <row r="124" ht="22.5" customHeight="1">
      <c r="B124" s="42">
        <v>45835.0</v>
      </c>
      <c r="C124" s="38" t="s">
        <v>14</v>
      </c>
      <c r="D124" s="39" t="str">
        <f>Ventas[Codigo]</f>
        <v>125 Blister 2 euro</v>
      </c>
      <c r="E124" s="40">
        <f>116+116+116+116</f>
        <v>464</v>
      </c>
    </row>
    <row r="125" ht="22.5" customHeight="1">
      <c r="B125" s="42">
        <v>45839.0</v>
      </c>
      <c r="C125" s="38" t="s">
        <v>26</v>
      </c>
      <c r="D125" s="39" t="str">
        <f>Ventas[Codigo]</f>
        <v>Peonza pack tradi (52mm)</v>
      </c>
      <c r="E125" s="40">
        <f>117+120+10</f>
        <v>247</v>
      </c>
    </row>
    <row r="126" ht="22.5" customHeight="1">
      <c r="B126" s="42">
        <v>45839.0</v>
      </c>
      <c r="C126" s="38" t="s">
        <v>37</v>
      </c>
      <c r="D126" s="39" t="str">
        <f>Ventas[Codigo]</f>
        <v>Set Flexi Vox (negro)</v>
      </c>
      <c r="E126" s="40">
        <v>30.0</v>
      </c>
    </row>
    <row r="127" ht="22.5" customHeight="1">
      <c r="B127" s="42">
        <v>45839.0</v>
      </c>
      <c r="C127" s="38" t="s">
        <v>35</v>
      </c>
      <c r="D127" s="39" t="str">
        <f>Ventas[Codigo]</f>
        <v>Set Flexi Vox (transparente)</v>
      </c>
      <c r="E127" s="40">
        <v>14.0</v>
      </c>
    </row>
    <row r="128" ht="22.5" customHeight="1">
      <c r="B128" s="42">
        <v>45840.0</v>
      </c>
      <c r="C128" s="38" t="s">
        <v>32</v>
      </c>
      <c r="D128" s="39" t="str">
        <f>Ventas[Codigo]</f>
        <v>Solo tubo Flexi Vox (transparente)</v>
      </c>
      <c r="E128" s="40">
        <v>200.0</v>
      </c>
    </row>
    <row r="129" ht="22.5" customHeight="1">
      <c r="B129" s="42">
        <v>45840.0</v>
      </c>
      <c r="C129" s="38" t="s">
        <v>33</v>
      </c>
      <c r="D129" s="39" t="str">
        <f>Ventas[Codigo]</f>
        <v>Solo tubo Flexi Vox (rojo)</v>
      </c>
      <c r="E129" s="40">
        <v>100.0</v>
      </c>
    </row>
    <row r="130" ht="22.5" customHeight="1">
      <c r="B130" s="42">
        <v>45840.0</v>
      </c>
      <c r="C130" s="38" t="s">
        <v>34</v>
      </c>
      <c r="D130" s="39" t="str">
        <f>Ventas[Codigo]</f>
        <v>Solo tubo Flexi Vox (negro)</v>
      </c>
      <c r="E130" s="40">
        <v>100.0</v>
      </c>
    </row>
    <row r="131" ht="22.5" customHeight="1">
      <c r="B131" s="42">
        <v>45840.0</v>
      </c>
      <c r="C131" s="38" t="s">
        <v>35</v>
      </c>
      <c r="D131" s="39" t="str">
        <f>Ventas[Codigo]</f>
        <v>Set Flexi Vox (transparente)</v>
      </c>
      <c r="E131" s="40">
        <v>200.0</v>
      </c>
    </row>
    <row r="132" ht="22.5" customHeight="1">
      <c r="B132" s="42">
        <v>45841.0</v>
      </c>
      <c r="C132" s="38" t="s">
        <v>126</v>
      </c>
      <c r="D132" s="39" t="str">
        <f>Ventas[Codigo]</f>
        <v>Menu grande</v>
      </c>
      <c r="E132" s="40">
        <f>16*3</f>
        <v>48</v>
      </c>
    </row>
    <row r="133" ht="22.5" customHeight="1">
      <c r="B133" s="42">
        <v>45841.0</v>
      </c>
      <c r="C133" s="38" t="s">
        <v>103</v>
      </c>
      <c r="D133" s="39" t="str">
        <f>Ventas[Codigo]</f>
        <v>200g Menú Junior</v>
      </c>
      <c r="E133" s="40">
        <f>103+104+103</f>
        <v>310</v>
      </c>
    </row>
    <row r="134" ht="22.5" customHeight="1">
      <c r="B134" s="42">
        <v>45842.0</v>
      </c>
      <c r="C134" s="38" t="s">
        <v>118</v>
      </c>
      <c r="D134" s="39" t="str">
        <f>Ventas[Codigo]</f>
        <v>Pack 126 ceras</v>
      </c>
      <c r="E134" s="40"/>
    </row>
    <row r="135" ht="22.5" customHeight="1">
      <c r="B135" s="42">
        <v>45842.0</v>
      </c>
      <c r="C135" s="38" t="s">
        <v>120</v>
      </c>
      <c r="D135" s="39" t="str">
        <f>Ventas[Codigo]</f>
        <v>Caja 50 pack 4 lapices</v>
      </c>
      <c r="E135" s="40">
        <v>100.0</v>
      </c>
    </row>
    <row r="136" ht="22.5" customHeight="1">
      <c r="B136" s="42">
        <v>45842.0</v>
      </c>
      <c r="C136" s="38" t="s">
        <v>123</v>
      </c>
      <c r="D136" s="39" t="str">
        <f>Ventas[Codigo]</f>
        <v>Caja 25 pack 6 lapices</v>
      </c>
      <c r="E136" s="40">
        <v>200.0</v>
      </c>
    </row>
    <row r="137" ht="22.5" customHeight="1">
      <c r="B137" s="42">
        <v>45852.0</v>
      </c>
      <c r="C137" s="38" t="s">
        <v>118</v>
      </c>
      <c r="D137" s="39" t="str">
        <f>Ventas[Codigo]</f>
        <v>Pack 126 ceras</v>
      </c>
      <c r="E137" s="40">
        <v>174.0</v>
      </c>
    </row>
    <row r="138" ht="22.5" customHeight="1">
      <c r="B138" s="42">
        <v>45853.0</v>
      </c>
      <c r="C138" s="38" t="s">
        <v>126</v>
      </c>
      <c r="D138" s="39" t="str">
        <f>Ventas[Codigo]</f>
        <v>Menu grande</v>
      </c>
      <c r="E138" s="40">
        <v>106.0</v>
      </c>
    </row>
    <row r="139" ht="22.5" customHeight="1">
      <c r="B139" s="42">
        <v>45854.0</v>
      </c>
      <c r="C139" s="38" t="s">
        <v>111</v>
      </c>
      <c r="D139" s="39" t="str">
        <f>Ventas[Codigo]</f>
        <v>150g Calcio en polvo</v>
      </c>
      <c r="E139" s="40">
        <v>325.0</v>
      </c>
    </row>
    <row r="140" ht="22.5" customHeight="1">
      <c r="B140" s="42">
        <v>45854.0</v>
      </c>
      <c r="C140" s="38" t="s">
        <v>27</v>
      </c>
      <c r="D140" s="39" t="str">
        <f>Ventas[Codigo]</f>
        <v>Peonza pack mini (48mm)</v>
      </c>
      <c r="E140" s="40">
        <v>85.0</v>
      </c>
    </row>
    <row r="141" ht="22.5" customHeight="1">
      <c r="B141" s="42">
        <v>45854.0</v>
      </c>
      <c r="C141" s="38" t="s">
        <v>137</v>
      </c>
      <c r="D141" s="39" t="str">
        <f>Ventas[Codigo]</f>
        <v>800g Gusanos de la harina</v>
      </c>
      <c r="E141" s="40">
        <v>54.0</v>
      </c>
    </row>
    <row r="142" ht="22.5" customHeight="1">
      <c r="B142" s="42">
        <v>45855.0</v>
      </c>
      <c r="C142" s="38" t="s">
        <v>27</v>
      </c>
      <c r="D142" s="39" t="str">
        <f>Ventas[Codigo]</f>
        <v>Peonza pack mini (48mm)</v>
      </c>
      <c r="E142" s="40">
        <f>85*3+86*2+69-195</f>
        <v>301</v>
      </c>
    </row>
    <row r="143" ht="22.5" customHeight="1">
      <c r="B143" s="42">
        <v>45856.0</v>
      </c>
      <c r="C143" s="38" t="s">
        <v>26</v>
      </c>
      <c r="D143" s="39" t="str">
        <f>Ventas[Codigo]</f>
        <v>Peonza pack tradi (52mm)</v>
      </c>
      <c r="E143" s="40">
        <v>11.0</v>
      </c>
    </row>
    <row r="144" ht="22.5" customHeight="1">
      <c r="B144" s="42">
        <v>45856.0</v>
      </c>
      <c r="C144" s="38" t="s">
        <v>26</v>
      </c>
      <c r="D144" s="39" t="str">
        <f>Ventas[Codigo]</f>
        <v>Peonza pack tradi (52mm)</v>
      </c>
      <c r="E144" s="40">
        <f>116+100</f>
        <v>216</v>
      </c>
    </row>
    <row r="145" ht="22.5" customHeight="1">
      <c r="B145" s="42">
        <v>45856.0</v>
      </c>
      <c r="C145" s="38" t="s">
        <v>33</v>
      </c>
      <c r="D145" s="39" t="str">
        <f>Ventas[Codigo]</f>
        <v>Solo tubo Flexi Vox (rojo)</v>
      </c>
      <c r="E145" s="40">
        <v>60.0</v>
      </c>
    </row>
    <row r="146" ht="22.5" customHeight="1">
      <c r="B146" s="42">
        <v>45856.0</v>
      </c>
      <c r="C146" s="38" t="s">
        <v>34</v>
      </c>
      <c r="D146" s="39" t="str">
        <f>Ventas[Codigo]</f>
        <v>Solo tubo Flexi Vox (negro)</v>
      </c>
      <c r="E146" s="40">
        <v>76.0</v>
      </c>
    </row>
    <row r="147" ht="22.5" customHeight="1">
      <c r="B147" s="42">
        <v>45859.0</v>
      </c>
      <c r="C147" s="38" t="s">
        <v>19</v>
      </c>
      <c r="D147" s="39" t="str">
        <f>Ventas[Codigo]</f>
        <v>125 Blister 5 cts</v>
      </c>
      <c r="E147" s="40">
        <v>96.0</v>
      </c>
    </row>
    <row r="148" ht="22.5" customHeight="1">
      <c r="B148" s="42">
        <v>45859.0</v>
      </c>
      <c r="C148" s="38" t="s">
        <v>22</v>
      </c>
      <c r="D148" s="39" t="str">
        <f>Ventas[Codigo]</f>
        <v>250 pack 1e + 2 e</v>
      </c>
      <c r="E148" s="40">
        <v>66.0</v>
      </c>
    </row>
    <row r="149" ht="22.5" customHeight="1">
      <c r="B149" s="42">
        <v>45860.0</v>
      </c>
      <c r="C149" s="38" t="s">
        <v>22</v>
      </c>
      <c r="D149" s="39" t="str">
        <f>Ventas[Codigo]</f>
        <v>250 pack 1e + 2 e</v>
      </c>
      <c r="E149" s="40">
        <f>66+65</f>
        <v>131</v>
      </c>
    </row>
    <row r="150" ht="22.5" customHeight="1">
      <c r="B150" s="42">
        <v>45860.0</v>
      </c>
      <c r="C150" s="38" t="s">
        <v>23</v>
      </c>
      <c r="D150" s="39" t="str">
        <f>Ventas[Codigo]</f>
        <v>250 Blister 1e</v>
      </c>
      <c r="E150" s="40">
        <v>70.0</v>
      </c>
    </row>
    <row r="151" ht="22.5" customHeight="1">
      <c r="B151" s="42">
        <v>45861.0</v>
      </c>
      <c r="C151" s="38" t="s">
        <v>137</v>
      </c>
      <c r="D151" s="39" t="str">
        <f>Ventas[Codigo]</f>
        <v>800g Gusanos de la harina</v>
      </c>
      <c r="E151" s="40">
        <v>96.0</v>
      </c>
    </row>
    <row r="152" ht="22.5" customHeight="1">
      <c r="B152" s="42">
        <v>45861.0</v>
      </c>
      <c r="C152" s="38" t="s">
        <v>126</v>
      </c>
      <c r="D152" s="39" t="str">
        <f>Ventas[Codigo]</f>
        <v>Menu grande</v>
      </c>
      <c r="E152" s="40">
        <v>16.0</v>
      </c>
    </row>
    <row r="153" ht="22.5" customHeight="1">
      <c r="B153" s="42">
        <v>45861.0</v>
      </c>
      <c r="C153" s="38" t="s">
        <v>24</v>
      </c>
      <c r="D153" s="39" t="str">
        <f>Ventas[Codigo]</f>
        <v>200 Mix blister</v>
      </c>
      <c r="E153" s="40">
        <v>21.0</v>
      </c>
    </row>
    <row r="154" ht="22.5" customHeight="1">
      <c r="B154" s="42">
        <v>45861.0</v>
      </c>
      <c r="C154" s="38" t="s">
        <v>19</v>
      </c>
      <c r="D154" s="39" t="str">
        <f>Ventas[Codigo]</f>
        <v>125 Blister 5 cts</v>
      </c>
      <c r="E154" s="40">
        <v>20.0</v>
      </c>
    </row>
    <row r="155" ht="22.5" customHeight="1">
      <c r="B155" s="42">
        <v>45861.0</v>
      </c>
      <c r="C155" s="38" t="s">
        <v>108</v>
      </c>
      <c r="D155" s="39" t="str">
        <f>Ventas[Codigo]</f>
        <v>75g Gammarus</v>
      </c>
      <c r="E155" s="40">
        <v>300.0</v>
      </c>
    </row>
    <row r="156" ht="22.5" customHeight="1">
      <c r="B156" s="42">
        <v>45862.0</v>
      </c>
      <c r="C156" s="38" t="s">
        <v>108</v>
      </c>
      <c r="D156" s="39" t="str">
        <f>Ventas[Codigo]</f>
        <v>75g Gammarus</v>
      </c>
      <c r="E156" s="40">
        <v>172.0</v>
      </c>
    </row>
    <row r="157" ht="22.5" customHeight="1">
      <c r="B157" s="42">
        <v>45862.0</v>
      </c>
      <c r="C157" s="38" t="s">
        <v>20</v>
      </c>
      <c r="D157" s="39" t="str">
        <f>Ventas[Codigo]</f>
        <v>125 Blister 2 cts</v>
      </c>
      <c r="E157" s="40">
        <f>114+114</f>
        <v>228</v>
      </c>
    </row>
    <row r="158" ht="22.5" customHeight="1">
      <c r="B158" s="42">
        <v>45862.0</v>
      </c>
      <c r="C158" s="38" t="s">
        <v>22</v>
      </c>
      <c r="D158" s="39" t="str">
        <f>Ventas[Codigo]</f>
        <v>250 pack 1e + 2 e</v>
      </c>
      <c r="E158" s="40">
        <v>66.0</v>
      </c>
    </row>
    <row r="159" ht="22.5" customHeight="1">
      <c r="B159" s="42">
        <v>45863.0</v>
      </c>
      <c r="C159" s="38" t="s">
        <v>21</v>
      </c>
      <c r="D159" s="39" t="str">
        <f>Ventas[Codigo]</f>
        <v>125 Blister 1 cts</v>
      </c>
      <c r="E159" s="40">
        <v>96.0</v>
      </c>
    </row>
    <row r="160" ht="22.5" customHeight="1">
      <c r="B160" s="42">
        <v>45863.0</v>
      </c>
      <c r="C160" s="38" t="s">
        <v>22</v>
      </c>
      <c r="D160" s="39" t="str">
        <f>Ventas[Codigo]</f>
        <v>250 pack 1e + 2 e</v>
      </c>
      <c r="E160" s="40">
        <f>66+65+65+34</f>
        <v>230</v>
      </c>
    </row>
    <row r="161" ht="22.5" customHeight="1">
      <c r="B161" s="42">
        <v>45863.0</v>
      </c>
      <c r="C161" s="38" t="s">
        <v>217</v>
      </c>
      <c r="D161" s="39" t="str">
        <f>Ventas[Codigo]</f>
        <v>400 Mix blister</v>
      </c>
      <c r="E161" s="40">
        <f>34*4+4</f>
        <v>140</v>
      </c>
    </row>
    <row r="162" ht="22.5" customHeight="1">
      <c r="B162" s="42">
        <v>45866.0</v>
      </c>
      <c r="C162" s="38" t="s">
        <v>24</v>
      </c>
      <c r="D162" s="39" t="str">
        <f>Ventas[Codigo]</f>
        <v>200 Mix blister</v>
      </c>
      <c r="E162" s="40">
        <v>627.0</v>
      </c>
    </row>
    <row r="163" ht="22.5" customHeight="1">
      <c r="B163" s="42">
        <v>45867.0</v>
      </c>
      <c r="C163" s="38" t="s">
        <v>15</v>
      </c>
      <c r="D163" s="39" t="str">
        <f>Ventas[Codigo]</f>
        <v>125 Blister 1 euro</v>
      </c>
      <c r="E163" s="40">
        <f>124*4+35</f>
        <v>531</v>
      </c>
    </row>
    <row r="164" ht="22.5" customHeight="1">
      <c r="B164" s="42">
        <v>45868.0</v>
      </c>
      <c r="C164" s="38" t="s">
        <v>14</v>
      </c>
      <c r="D164" s="39" t="str">
        <f>Ventas[Codigo]</f>
        <v>125 Blister 2 euro</v>
      </c>
      <c r="E164" s="40">
        <f>116*4+46</f>
        <v>510</v>
      </c>
    </row>
    <row r="165" ht="22.5" customHeight="1">
      <c r="B165" s="42">
        <v>45868.0</v>
      </c>
      <c r="C165" s="38" t="s">
        <v>22</v>
      </c>
      <c r="D165" s="39" t="str">
        <f>Ventas[Codigo]</f>
        <v>250 pack 1e + 2 e</v>
      </c>
      <c r="E165" s="40">
        <f>66+32</f>
        <v>98</v>
      </c>
    </row>
    <row r="166" ht="22.5" customHeight="1">
      <c r="B166" s="42">
        <v>45869.0</v>
      </c>
      <c r="C166" s="38" t="s">
        <v>5</v>
      </c>
      <c r="D166" s="39" t="str">
        <f>Ventas[Codigo]</f>
        <v>Calcio 4 pcs</v>
      </c>
      <c r="E166" s="40">
        <v>600.0</v>
      </c>
    </row>
    <row r="167" ht="22.5" customHeight="1">
      <c r="B167" s="42">
        <v>45869.0</v>
      </c>
      <c r="C167" s="38" t="s">
        <v>6</v>
      </c>
      <c r="D167" s="39" t="str">
        <f>Ventas[Codigo]</f>
        <v>Calcio 8 pcs</v>
      </c>
      <c r="E167" s="40">
        <v>300.0</v>
      </c>
    </row>
    <row r="168" ht="22.5" customHeight="1">
      <c r="B168" s="42">
        <v>45870.0</v>
      </c>
      <c r="C168" s="38" t="s">
        <v>137</v>
      </c>
      <c r="D168" s="39" t="str">
        <f>Ventas[Codigo]</f>
        <v>800g Gusanos de la harina</v>
      </c>
      <c r="E168" s="40">
        <v>96.0</v>
      </c>
    </row>
    <row r="169" ht="22.5" customHeight="1">
      <c r="B169" s="42">
        <v>45870.0</v>
      </c>
      <c r="C169" s="38" t="s">
        <v>126</v>
      </c>
      <c r="D169" s="39" t="str">
        <f>Ventas[Codigo]</f>
        <v>Menu grande</v>
      </c>
      <c r="E169" s="40">
        <v>84.0</v>
      </c>
    </row>
    <row r="170" ht="22.5" customHeight="1">
      <c r="B170" s="42">
        <v>45870.0</v>
      </c>
      <c r="C170" s="38" t="s">
        <v>108</v>
      </c>
      <c r="D170" s="39" t="str">
        <f>Ventas[Codigo]</f>
        <v>75g Gammarus</v>
      </c>
      <c r="E170" s="40">
        <v>111.0</v>
      </c>
    </row>
    <row r="171" ht="22.5" customHeight="1">
      <c r="B171" s="42">
        <v>45873.0</v>
      </c>
      <c r="C171" s="38" t="s">
        <v>137</v>
      </c>
      <c r="D171" s="39" t="str">
        <f>Ventas[Codigo]</f>
        <v>800g Gusanos de la harina</v>
      </c>
      <c r="E171" s="40">
        <v>28.0</v>
      </c>
    </row>
    <row r="172" ht="22.5" customHeight="1">
      <c r="B172" s="42">
        <v>45873.0</v>
      </c>
      <c r="C172" s="38" t="s">
        <v>22</v>
      </c>
      <c r="D172" s="39" t="str">
        <f>Ventas[Codigo]</f>
        <v>250 pack 1e + 2 e</v>
      </c>
      <c r="E172" s="40">
        <v>66.0</v>
      </c>
    </row>
    <row r="173" ht="22.5" customHeight="1">
      <c r="B173" s="42">
        <v>45873.0</v>
      </c>
      <c r="C173" s="38" t="s">
        <v>23</v>
      </c>
      <c r="D173" s="39" t="str">
        <f>Ventas[Codigo]</f>
        <v>250 Blister 1e</v>
      </c>
      <c r="E173" s="40">
        <v>208.0</v>
      </c>
    </row>
    <row r="174" ht="22.5" customHeight="1">
      <c r="B174" s="42">
        <v>45874.0</v>
      </c>
      <c r="C174" s="38" t="s">
        <v>35</v>
      </c>
      <c r="D174" s="39" t="str">
        <f>Ventas[Codigo]</f>
        <v>Set Flexi Vox (transparente)</v>
      </c>
      <c r="E174" s="40">
        <v>100.0</v>
      </c>
    </row>
    <row r="175" ht="22.5" customHeight="1">
      <c r="B175" s="42">
        <v>45874.0</v>
      </c>
      <c r="C175" s="38" t="s">
        <v>32</v>
      </c>
      <c r="D175" s="39" t="str">
        <f>Ventas[Codigo]</f>
        <v>Solo tubo Flexi Vox (transparente)</v>
      </c>
      <c r="E175" s="40">
        <v>100.0</v>
      </c>
    </row>
    <row r="176" ht="22.5" customHeight="1">
      <c r="B176" s="42">
        <v>45874.0</v>
      </c>
      <c r="C176" s="38" t="s">
        <v>15</v>
      </c>
      <c r="D176" s="39" t="str">
        <f>Ventas[Codigo]</f>
        <v>125 Blister 1 euro</v>
      </c>
      <c r="E176" s="40">
        <v>288.0</v>
      </c>
    </row>
    <row r="177" ht="22.5" customHeight="1">
      <c r="B177" s="42">
        <v>45875.0</v>
      </c>
      <c r="C177" s="38" t="s">
        <v>16</v>
      </c>
      <c r="D177" s="39" t="str">
        <f>Ventas[Codigo]</f>
        <v>125 Blister 50 cts</v>
      </c>
      <c r="E177" s="40">
        <v>114.0</v>
      </c>
    </row>
    <row r="178" ht="22.5" customHeight="1">
      <c r="B178" s="42">
        <v>45875.0</v>
      </c>
      <c r="C178" s="38" t="s">
        <v>126</v>
      </c>
      <c r="D178" s="39" t="str">
        <f>Ventas[Codigo]</f>
        <v>Menu grande</v>
      </c>
      <c r="E178" s="40">
        <v>360.0</v>
      </c>
    </row>
    <row r="179" ht="22.5" customHeight="1">
      <c r="B179" s="42">
        <v>45885.0</v>
      </c>
      <c r="C179" s="38" t="s">
        <v>126</v>
      </c>
      <c r="D179" s="39" t="str">
        <f>Ventas[Codigo]</f>
        <v>Menu grande</v>
      </c>
      <c r="E179" s="40">
        <f>18*3</f>
        <v>54</v>
      </c>
    </row>
    <row r="180" ht="22.5" customHeight="1">
      <c r="B180" s="42">
        <v>45887.0</v>
      </c>
      <c r="C180" s="38" t="s">
        <v>14</v>
      </c>
      <c r="D180" s="39" t="str">
        <f>Ventas[Codigo]</f>
        <v>125 Blister 2 euro</v>
      </c>
      <c r="E180" s="40">
        <v>198.0</v>
      </c>
    </row>
    <row r="181" ht="22.5" customHeight="1">
      <c r="B181" s="42">
        <v>45888.0</v>
      </c>
      <c r="C181" s="38" t="s">
        <v>103</v>
      </c>
      <c r="D181" s="39" t="str">
        <f>Ventas[Codigo]</f>
        <v>200g Menú Junior</v>
      </c>
      <c r="E181" s="40">
        <f>102*5+83</f>
        <v>593</v>
      </c>
    </row>
    <row r="182" ht="22.5" customHeight="1">
      <c r="B182" s="42">
        <v>45888.0</v>
      </c>
      <c r="C182" s="38" t="s">
        <v>137</v>
      </c>
      <c r="D182" s="39" t="str">
        <f>Ventas[Codigo]</f>
        <v>800g Gusanos de la harina</v>
      </c>
      <c r="E182" s="40">
        <f>30*5+32*2+3</f>
        <v>217</v>
      </c>
    </row>
    <row r="183" ht="22.5" customHeight="1">
      <c r="B183" s="42">
        <v>45890.0</v>
      </c>
      <c r="C183" s="38" t="s">
        <v>111</v>
      </c>
      <c r="D183" s="39" t="str">
        <f>Ventas[Codigo]</f>
        <v>150g Calcio en polvo</v>
      </c>
      <c r="E183" s="40">
        <f>138+136+136</f>
        <v>410</v>
      </c>
    </row>
    <row r="184" ht="22.5" customHeight="1">
      <c r="B184" s="42">
        <v>45890.0</v>
      </c>
      <c r="C184" s="38" t="s">
        <v>5</v>
      </c>
      <c r="D184" s="39" t="str">
        <f>Ventas[Codigo]</f>
        <v>Calcio 4 pcs</v>
      </c>
      <c r="E184" s="40">
        <v>500.0</v>
      </c>
    </row>
    <row r="185" ht="22.5" customHeight="1">
      <c r="B185" s="42">
        <v>45889.0</v>
      </c>
      <c r="C185" s="38" t="s">
        <v>108</v>
      </c>
      <c r="D185" s="39" t="str">
        <f>Ventas[Codigo]</f>
        <v>75g Gammarus</v>
      </c>
      <c r="E185" s="40">
        <f>200+220+175+180+13</f>
        <v>788</v>
      </c>
    </row>
    <row r="186" ht="22.5" customHeight="1">
      <c r="B186" s="42">
        <v>45891.0</v>
      </c>
      <c r="C186" s="38" t="s">
        <v>6</v>
      </c>
      <c r="D186" s="39" t="str">
        <f>Ventas[Codigo]</f>
        <v>Calcio 8 pcs</v>
      </c>
      <c r="E186" s="40">
        <v>301.0</v>
      </c>
    </row>
    <row r="187" ht="22.5" customHeight="1">
      <c r="B187" s="42">
        <v>45891.0</v>
      </c>
      <c r="C187" s="38" t="s">
        <v>7</v>
      </c>
      <c r="D187" s="39" t="str">
        <f>Ventas[Codigo]</f>
        <v>Calcio 15 pcs</v>
      </c>
      <c r="E187" s="40">
        <f>132*2+39</f>
        <v>303</v>
      </c>
    </row>
    <row r="188" ht="22.5" customHeight="1">
      <c r="B188" s="42">
        <v>45895.0</v>
      </c>
      <c r="C188" s="38" t="s">
        <v>14</v>
      </c>
      <c r="D188" s="39" t="str">
        <f>Ventas[Codigo]</f>
        <v>125 Blister 2 euro</v>
      </c>
      <c r="E188" s="40">
        <f>116+120+52</f>
        <v>288</v>
      </c>
    </row>
    <row r="189" ht="22.5" customHeight="1">
      <c r="B189" s="42">
        <v>45895.0</v>
      </c>
      <c r="C189" s="38" t="s">
        <v>137</v>
      </c>
      <c r="D189" s="39" t="str">
        <f>Ventas[Codigo]</f>
        <v>800g Gusanos de la harina</v>
      </c>
      <c r="E189" s="40">
        <f>21*3+20</f>
        <v>83</v>
      </c>
    </row>
    <row r="190" ht="22.5" customHeight="1">
      <c r="B190" s="42">
        <v>45896.0</v>
      </c>
      <c r="C190" s="38" t="s">
        <v>111</v>
      </c>
      <c r="D190" s="39" t="str">
        <f>Ventas[Codigo]</f>
        <v>150g Calcio en polvo</v>
      </c>
      <c r="E190" s="40">
        <f>136*2+11</f>
        <v>283</v>
      </c>
    </row>
    <row r="191" ht="22.5" customHeight="1">
      <c r="B191" s="42">
        <v>45896.0</v>
      </c>
      <c r="C191" s="38" t="s">
        <v>137</v>
      </c>
      <c r="D191" s="39" t="str">
        <f>Ventas[Codigo]</f>
        <v>800g Gusanos de la harina</v>
      </c>
      <c r="E191" s="40">
        <v>232.0</v>
      </c>
    </row>
    <row r="192" ht="22.5" customHeight="1">
      <c r="B192" s="42">
        <v>45896.0</v>
      </c>
      <c r="C192" s="38" t="s">
        <v>14</v>
      </c>
      <c r="D192" s="39" t="str">
        <f>Ventas[Codigo]</f>
        <v>125 Blister 2 euro</v>
      </c>
      <c r="E192" s="40">
        <f>119+116+7</f>
        <v>242</v>
      </c>
    </row>
    <row r="193" ht="22.5" customHeight="1">
      <c r="B193" s="42">
        <v>45897.0</v>
      </c>
      <c r="C193" s="38" t="s">
        <v>17</v>
      </c>
      <c r="D193" s="39" t="str">
        <f>Ventas[Codigo]</f>
        <v>125 Blister 20 cts</v>
      </c>
      <c r="E193" s="40">
        <f>138+6</f>
        <v>144</v>
      </c>
    </row>
    <row r="194" ht="22.5" customHeight="1">
      <c r="B194" s="42">
        <v>45897.0</v>
      </c>
      <c r="C194" s="38" t="s">
        <v>18</v>
      </c>
      <c r="D194" s="39" t="str">
        <f>Ventas[Codigo]</f>
        <v>125 Blister 10 cts</v>
      </c>
      <c r="E194" s="40">
        <f>74*2</f>
        <v>148</v>
      </c>
    </row>
    <row r="195" ht="22.5" customHeight="1">
      <c r="B195" s="42">
        <v>45898.0</v>
      </c>
      <c r="C195" s="38" t="s">
        <v>23</v>
      </c>
      <c r="D195" s="39" t="str">
        <f>Ventas[Codigo]</f>
        <v>250 Blister 1e</v>
      </c>
      <c r="E195" s="40">
        <v>138.0</v>
      </c>
    </row>
    <row r="196" ht="22.5" customHeight="1">
      <c r="B196" s="42">
        <v>45898.0</v>
      </c>
      <c r="C196" s="38" t="s">
        <v>26</v>
      </c>
      <c r="D196" s="39" t="str">
        <f>Ventas[Codigo]</f>
        <v>Peonza pack tradi (52mm)</v>
      </c>
      <c r="E196" s="40">
        <f>116*4+27</f>
        <v>491</v>
      </c>
    </row>
    <row r="197" ht="22.5" customHeight="1">
      <c r="B197" s="42">
        <v>45901.0</v>
      </c>
      <c r="C197" s="38" t="s">
        <v>27</v>
      </c>
      <c r="D197" s="39" t="str">
        <f>Ventas[Codigo]</f>
        <v>Peonza pack mini (48mm)</v>
      </c>
      <c r="E197" s="40">
        <f>86+86</f>
        <v>172</v>
      </c>
    </row>
    <row r="198" ht="22.5" customHeight="1">
      <c r="B198" s="42">
        <v>45901.0</v>
      </c>
      <c r="C198" s="38" t="s">
        <v>120</v>
      </c>
      <c r="D198" s="39" t="str">
        <f>Ventas[Codigo]</f>
        <v>Caja 50 pack 4 lapices</v>
      </c>
      <c r="E198" s="40">
        <f>40+40+20</f>
        <v>100</v>
      </c>
    </row>
    <row r="199" ht="22.5" customHeight="1">
      <c r="B199" s="42">
        <v>45901.0</v>
      </c>
      <c r="C199" s="38" t="s">
        <v>123</v>
      </c>
      <c r="D199" s="39" t="str">
        <f>Ventas[Codigo]</f>
        <v>Caja 25 pack 6 lapices</v>
      </c>
      <c r="E199" s="40">
        <f>52*3+44</f>
        <v>200</v>
      </c>
    </row>
    <row r="200" ht="22.5" customHeight="1">
      <c r="B200" s="42">
        <v>45902.0</v>
      </c>
      <c r="C200" s="38" t="s">
        <v>33</v>
      </c>
      <c r="D200" s="39" t="str">
        <f>Ventas[Codigo]</f>
        <v>Solo tubo Flexi Vox (rojo)</v>
      </c>
      <c r="E200" s="40">
        <v>326.0</v>
      </c>
    </row>
    <row r="201" ht="22.5" customHeight="1">
      <c r="B201" s="42">
        <v>45902.0</v>
      </c>
      <c r="C201" s="38" t="s">
        <v>34</v>
      </c>
      <c r="D201" s="39" t="str">
        <f>Ventas[Codigo]</f>
        <v>Solo tubo Flexi Vox (negro)</v>
      </c>
      <c r="E201" s="40">
        <v>212.0</v>
      </c>
    </row>
    <row r="202" ht="22.5" customHeight="1">
      <c r="B202" s="42">
        <v>45903.0</v>
      </c>
      <c r="C202" s="38" t="s">
        <v>32</v>
      </c>
      <c r="D202" s="39" t="str">
        <f>Ventas[Codigo]</f>
        <v>Solo tubo Flexi Vox (transparente)</v>
      </c>
      <c r="E202" s="40">
        <v>290.0</v>
      </c>
    </row>
    <row r="203" ht="22.5" customHeight="1">
      <c r="B203" s="42">
        <v>45903.0</v>
      </c>
      <c r="C203" s="38" t="s">
        <v>147</v>
      </c>
      <c r="D203" s="39" t="str">
        <f>Ventas[Codigo]</f>
        <v>300g Gammarus</v>
      </c>
      <c r="E203" s="40">
        <v>164.0</v>
      </c>
    </row>
    <row r="204" ht="22.5" customHeight="1">
      <c r="B204" s="42">
        <v>45905.0</v>
      </c>
      <c r="C204" s="38" t="s">
        <v>35</v>
      </c>
      <c r="D204" s="39" t="str">
        <f>Ventas[Codigo]</f>
        <v>Set Flexi Vox (transparente)</v>
      </c>
      <c r="E204" s="40">
        <v>1003.0</v>
      </c>
    </row>
    <row r="205" ht="22.5" customHeight="1">
      <c r="B205" s="42">
        <v>45909.0</v>
      </c>
      <c r="C205" s="38" t="s">
        <v>37</v>
      </c>
      <c r="D205" s="39" t="str">
        <f>Ventas[Codigo]</f>
        <v>Set Flexi Vox (negro)</v>
      </c>
      <c r="E205" s="40">
        <f>112*5</f>
        <v>560</v>
      </c>
    </row>
    <row r="206" ht="22.5" customHeight="1">
      <c r="B206" s="42">
        <v>45909.0</v>
      </c>
      <c r="C206" s="38" t="s">
        <v>36</v>
      </c>
      <c r="D206" s="39" t="str">
        <f>Ventas[Codigo]</f>
        <v>Set Flexi Vox (rojo)</v>
      </c>
      <c r="E206" s="40">
        <f>112*4+2</f>
        <v>450</v>
      </c>
    </row>
    <row r="207" ht="22.5" customHeight="1">
      <c r="B207" s="42">
        <v>45912.0</v>
      </c>
      <c r="C207" s="38" t="s">
        <v>137</v>
      </c>
      <c r="D207" s="39" t="str">
        <f>Ventas[Codigo]</f>
        <v>800g Gusanos de la harina</v>
      </c>
      <c r="E207" s="40">
        <f>32+31</f>
        <v>63</v>
      </c>
    </row>
    <row r="208" ht="22.5" customHeight="1">
      <c r="B208" s="42">
        <v>45912.0</v>
      </c>
      <c r="C208" s="38" t="s">
        <v>17</v>
      </c>
      <c r="D208" s="39" t="str">
        <f>Ventas[Codigo]</f>
        <v>125 Blister 20 cts</v>
      </c>
      <c r="E208" s="40">
        <v>130.0</v>
      </c>
    </row>
    <row r="209" ht="22.5" customHeight="1">
      <c r="B209" s="42">
        <v>45913.0</v>
      </c>
      <c r="C209" s="38" t="s">
        <v>17</v>
      </c>
      <c r="D209" s="39" t="str">
        <f>Ventas[Codigo]</f>
        <v>125 Blister 20 cts</v>
      </c>
      <c r="E209" s="40">
        <f>130+76</f>
        <v>206</v>
      </c>
    </row>
    <row r="210" ht="22.5" customHeight="1">
      <c r="B210" s="42">
        <v>45922.0</v>
      </c>
      <c r="C210" s="38" t="s">
        <v>16</v>
      </c>
      <c r="D210" s="39" t="str">
        <f>Ventas[Codigo]</f>
        <v>125 Blister 50 cts</v>
      </c>
      <c r="E210" s="40">
        <v>46.0</v>
      </c>
    </row>
    <row r="211" ht="22.5" customHeight="1">
      <c r="B211" s="42">
        <v>45924.0</v>
      </c>
      <c r="C211" s="38" t="s">
        <v>18</v>
      </c>
      <c r="D211" s="39" t="str">
        <f>Ventas[Codigo]</f>
        <v>125 Blister 10 cts</v>
      </c>
      <c r="E211" s="40">
        <f>75+76+75+18</f>
        <v>244</v>
      </c>
    </row>
    <row r="212" ht="22.5" customHeight="1">
      <c r="B212" s="42">
        <v>45924.0</v>
      </c>
      <c r="C212" s="38" t="s">
        <v>16</v>
      </c>
      <c r="D212" s="39" t="str">
        <f>Ventas[Codigo]</f>
        <v>125 Blister 50 cts</v>
      </c>
      <c r="E212" s="40">
        <f>104+104</f>
        <v>208</v>
      </c>
    </row>
    <row r="213" ht="22.5" customHeight="1">
      <c r="B213" s="42">
        <v>45925.0</v>
      </c>
      <c r="C213" s="38" t="s">
        <v>137</v>
      </c>
      <c r="D213" s="39" t="str">
        <f>Ventas[Codigo]</f>
        <v>800g Gusanos de la harina</v>
      </c>
      <c r="E213" s="40">
        <f>30*7</f>
        <v>210</v>
      </c>
    </row>
    <row r="214" ht="22.5" customHeight="1">
      <c r="B214" s="42">
        <v>45926.0</v>
      </c>
      <c r="C214" s="38" t="s">
        <v>147</v>
      </c>
      <c r="D214" s="39" t="str">
        <f>Ventas[Codigo]</f>
        <v>300g Gammarus</v>
      </c>
      <c r="E214" s="40">
        <f>45*4+21</f>
        <v>201</v>
      </c>
    </row>
    <row r="215" ht="22.5" customHeight="1">
      <c r="B215" s="42">
        <v>45929.0</v>
      </c>
      <c r="C215" s="38" t="s">
        <v>126</v>
      </c>
      <c r="D215" s="39" t="str">
        <f>Ventas[Codigo]</f>
        <v>Menu grande</v>
      </c>
      <c r="E215" s="40">
        <f>4*18+6*20</f>
        <v>192</v>
      </c>
    </row>
    <row r="216" ht="22.5" customHeight="1">
      <c r="B216" s="42">
        <v>45930.0</v>
      </c>
      <c r="C216" s="38" t="s">
        <v>103</v>
      </c>
      <c r="D216" s="39" t="str">
        <f>Ventas[Codigo]</f>
        <v>200g Menú Junior</v>
      </c>
      <c r="E216" s="40">
        <f>4*100+32</f>
        <v>432</v>
      </c>
    </row>
    <row r="217" ht="22.5" customHeight="1">
      <c r="B217" s="42">
        <v>45931.0</v>
      </c>
      <c r="C217" s="38" t="s">
        <v>126</v>
      </c>
      <c r="D217" s="39" t="str">
        <f>Ventas[Codigo]</f>
        <v>Menu grande</v>
      </c>
      <c r="E217" s="40">
        <f>20*11</f>
        <v>220</v>
      </c>
    </row>
    <row r="218" ht="22.5" customHeight="1">
      <c r="B218" s="42">
        <v>45933.0</v>
      </c>
      <c r="C218" s="38" t="s">
        <v>137</v>
      </c>
      <c r="D218" s="39" t="str">
        <f>Ventas[Codigo]</f>
        <v>800g Gusanos de la harina</v>
      </c>
      <c r="E218" s="40">
        <f>28*9</f>
        <v>252</v>
      </c>
    </row>
    <row r="219" ht="22.5" customHeight="1">
      <c r="B219" s="42">
        <v>45932.0</v>
      </c>
      <c r="C219" s="38" t="s">
        <v>103</v>
      </c>
      <c r="D219" s="39" t="str">
        <f>Ventas[Codigo]</f>
        <v>200g Menú Junior</v>
      </c>
      <c r="E219" s="40">
        <f>4*100+45-32</f>
        <v>413</v>
      </c>
    </row>
    <row r="220" ht="22.5" customHeight="1">
      <c r="B220" s="42">
        <v>45936.0</v>
      </c>
      <c r="C220" s="38" t="s">
        <v>137</v>
      </c>
      <c r="D220" s="39" t="str">
        <f>Ventas[Codigo]</f>
        <v>800g Gusanos de la harina</v>
      </c>
      <c r="E220" s="40">
        <f>28*7+24</f>
        <v>220</v>
      </c>
    </row>
    <row r="221" ht="22.5" customHeight="1">
      <c r="B221" s="42">
        <v>45937.0</v>
      </c>
      <c r="C221" s="38" t="s">
        <v>108</v>
      </c>
      <c r="D221" s="39" t="str">
        <f>Ventas[Codigo]</f>
        <v>75g Gammarus</v>
      </c>
      <c r="E221" s="40">
        <f>190+2</f>
        <v>192</v>
      </c>
    </row>
    <row r="222" ht="22.5" customHeight="1">
      <c r="B222" s="42">
        <v>45938.0</v>
      </c>
      <c r="C222" s="38" t="s">
        <v>126</v>
      </c>
      <c r="D222" s="39" t="str">
        <f>Ventas[Codigo]</f>
        <v>Menu grande</v>
      </c>
      <c r="E222" s="40">
        <f>20+10</f>
        <v>30</v>
      </c>
    </row>
    <row r="223" ht="22.5" customHeight="1">
      <c r="B223" s="42">
        <v>45938.0</v>
      </c>
      <c r="C223" s="38" t="s">
        <v>147</v>
      </c>
      <c r="D223" s="39" t="str">
        <f>Ventas[Codigo]</f>
        <v>300g Gammarus</v>
      </c>
      <c r="E223" s="40">
        <f>45+39</f>
        <v>84</v>
      </c>
    </row>
    <row r="224" ht="22.5" customHeight="1">
      <c r="B224" s="40" t="s">
        <v>219</v>
      </c>
      <c r="C224" s="38" t="s">
        <v>16</v>
      </c>
      <c r="D224" s="39" t="str">
        <f>Ventas[Codigo]</f>
        <v>125 Blister 50 cts</v>
      </c>
      <c r="E224" s="40">
        <v>169.0</v>
      </c>
    </row>
    <row r="225" ht="22.5" customHeight="1">
      <c r="B225" s="42">
        <v>45939.0</v>
      </c>
      <c r="C225" s="38" t="s">
        <v>123</v>
      </c>
      <c r="D225" s="39" t="str">
        <f>Ventas[Codigo]</f>
        <v>Caja 25 pack 6 lapices</v>
      </c>
      <c r="E225" s="40">
        <f>52*3+44</f>
        <v>200</v>
      </c>
    </row>
    <row r="226" ht="22.5" customHeight="1">
      <c r="B226" s="42">
        <v>45940.0</v>
      </c>
      <c r="C226" s="38" t="s">
        <v>118</v>
      </c>
      <c r="D226" s="39" t="str">
        <f>Ventas[Codigo]</f>
        <v>Pack 126 ceras</v>
      </c>
      <c r="E226" s="40">
        <f>23*6+24*3+14</f>
        <v>224</v>
      </c>
    </row>
    <row r="227" ht="22.5" customHeight="1">
      <c r="B227" s="42">
        <v>45940.0</v>
      </c>
      <c r="C227" s="38" t="s">
        <v>103</v>
      </c>
      <c r="D227" s="39" t="str">
        <f>Ventas[Codigo]</f>
        <v>200g Menú Junior</v>
      </c>
      <c r="E227" s="40">
        <f>98+102+26</f>
        <v>226</v>
      </c>
    </row>
    <row r="228" ht="22.5" customHeight="1">
      <c r="B228" s="42">
        <v>45944.0</v>
      </c>
      <c r="C228" s="38" t="s">
        <v>32</v>
      </c>
      <c r="D228" s="39" t="str">
        <f>Ventas[Codigo]</f>
        <v>Solo tubo Flexi Vox (transparente)</v>
      </c>
      <c r="E228" s="40">
        <f>380+381</f>
        <v>761</v>
      </c>
    </row>
    <row r="229" ht="22.5" customHeight="1">
      <c r="B229" s="42">
        <v>45962.0</v>
      </c>
      <c r="C229" s="38" t="s">
        <v>36</v>
      </c>
      <c r="D229" s="39" t="str">
        <f>Ventas[Codigo]</f>
        <v>Set Flexi Vox (rojo)</v>
      </c>
      <c r="E229" s="40">
        <v>104.0</v>
      </c>
    </row>
    <row r="230" ht="22.5" customHeight="1">
      <c r="B230" s="42">
        <v>45962.0</v>
      </c>
      <c r="C230" s="38" t="s">
        <v>37</v>
      </c>
      <c r="D230" s="39" t="str">
        <f>Ventas[Codigo]</f>
        <v>Set Flexi Vox (negro)</v>
      </c>
      <c r="E230" s="40">
        <v>19.0</v>
      </c>
    </row>
    <row r="231" ht="22.5" customHeight="1">
      <c r="B231" s="42">
        <v>45962.0</v>
      </c>
      <c r="C231" s="38" t="s">
        <v>35</v>
      </c>
      <c r="D231" s="39" t="str">
        <f>Ventas[Codigo]</f>
        <v>Set Flexi Vox (transparente)</v>
      </c>
      <c r="E231" s="40">
        <v>489.0</v>
      </c>
    </row>
    <row r="232" ht="22.5" customHeight="1">
      <c r="B232" s="42">
        <v>45966.0</v>
      </c>
      <c r="C232" s="38" t="s">
        <v>126</v>
      </c>
      <c r="D232" s="39" t="str">
        <f>Ventas[Codigo]</f>
        <v>Menu grande</v>
      </c>
      <c r="E232" s="40">
        <v>126.0</v>
      </c>
    </row>
    <row r="233" ht="22.5" customHeight="1">
      <c r="B233" s="42">
        <v>45967.0</v>
      </c>
      <c r="C233" s="38" t="s">
        <v>126</v>
      </c>
      <c r="D233" s="39" t="str">
        <f>Ventas[Codigo]</f>
        <v>Menu grande</v>
      </c>
      <c r="E233" s="40">
        <f>121+183</f>
        <v>304</v>
      </c>
    </row>
    <row r="234" ht="22.5" customHeight="1">
      <c r="B234" s="42">
        <v>45967.0</v>
      </c>
      <c r="C234" s="38" t="s">
        <v>103</v>
      </c>
      <c r="D234" s="39" t="str">
        <f>Ventas[Codigo]</f>
        <v>200g Menú Junior</v>
      </c>
      <c r="E234" s="40">
        <v>37.0</v>
      </c>
    </row>
    <row r="235" ht="22.5" customHeight="1">
      <c r="B235" s="42">
        <v>45969.0</v>
      </c>
      <c r="C235" s="38" t="s">
        <v>26</v>
      </c>
      <c r="D235" s="39" t="str">
        <f>Ventas[Codigo]</f>
        <v>Peonza pack tradi (52mm)</v>
      </c>
      <c r="E235" s="40">
        <v>489.0</v>
      </c>
    </row>
    <row r="236" ht="22.5" customHeight="1">
      <c r="B236" s="42">
        <v>45982.0</v>
      </c>
      <c r="C236" s="38" t="s">
        <v>118</v>
      </c>
      <c r="D236" s="39" t="str">
        <f>Ventas[Codigo]</f>
        <v>Pack 126 ceras</v>
      </c>
      <c r="E236" s="40">
        <f>24*8+5</f>
        <v>197</v>
      </c>
    </row>
    <row r="237" ht="22.5" customHeight="1">
      <c r="B237" s="42">
        <v>45985.0</v>
      </c>
      <c r="C237" s="38" t="s">
        <v>26</v>
      </c>
      <c r="D237" s="39" t="str">
        <f>Ventas[Codigo]</f>
        <v>Peonza pack tradi (52mm)</v>
      </c>
      <c r="E237" s="40">
        <f>112+115+115+31+115</f>
        <v>488</v>
      </c>
    </row>
    <row r="238" ht="22.5" customHeight="1">
      <c r="B238" s="42">
        <v>45993.0</v>
      </c>
      <c r="C238" s="38" t="s">
        <v>35</v>
      </c>
      <c r="D238" s="39" t="str">
        <f>Ventas[Codigo]</f>
        <v>Set Flexi Vox (transparente)</v>
      </c>
      <c r="E238" s="40">
        <f>128*2</f>
        <v>256</v>
      </c>
    </row>
    <row r="239" ht="22.5" customHeight="1">
      <c r="B239" s="42">
        <v>45994.0</v>
      </c>
      <c r="C239" s="38" t="s">
        <v>37</v>
      </c>
      <c r="D239" s="39" t="str">
        <f>Ventas[Codigo]</f>
        <v>Set Flexi Vox (negro)</v>
      </c>
      <c r="E239" s="40">
        <f>128*2+4</f>
        <v>260</v>
      </c>
    </row>
    <row r="240" ht="22.5" customHeight="1">
      <c r="B240" s="42">
        <v>45995.0</v>
      </c>
      <c r="C240" s="38" t="s">
        <v>36</v>
      </c>
      <c r="D240" s="39" t="str">
        <f>Ventas[Codigo]</f>
        <v>Set Flexi Vox (rojo)</v>
      </c>
      <c r="E240" s="40">
        <f>128*2</f>
        <v>256</v>
      </c>
    </row>
    <row r="241" ht="22.5" customHeight="1">
      <c r="B241" s="42">
        <v>45996.0</v>
      </c>
      <c r="C241" s="38" t="s">
        <v>35</v>
      </c>
      <c r="D241" s="39" t="str">
        <f>Ventas[Codigo]</f>
        <v>Set Flexi Vox (transparente)</v>
      </c>
      <c r="E241" s="40">
        <f>128+107</f>
        <v>235</v>
      </c>
    </row>
    <row r="242" ht="22.5" customHeight="1">
      <c r="B242" s="42">
        <v>46001.0</v>
      </c>
      <c r="C242" s="38" t="s">
        <v>35</v>
      </c>
      <c r="D242" s="39" t="str">
        <f>Ventas[Codigo]</f>
        <v>Set Flexi Vox (transparente)</v>
      </c>
      <c r="E242" s="40">
        <v>96.0</v>
      </c>
    </row>
    <row r="243" ht="22.5" customHeight="1">
      <c r="B243" s="42">
        <v>46001.0</v>
      </c>
      <c r="C243" s="38" t="s">
        <v>120</v>
      </c>
      <c r="D243" s="39" t="str">
        <f>Ventas[Codigo]</f>
        <v>Caja 50 pack 4 lapices</v>
      </c>
      <c r="E243" s="40">
        <v>100.0</v>
      </c>
    </row>
    <row r="244" ht="22.5" customHeight="1">
      <c r="B244" s="42">
        <v>46001.0</v>
      </c>
      <c r="C244" s="38" t="s">
        <v>123</v>
      </c>
      <c r="D244" s="39" t="str">
        <f>Ventas[Codigo]</f>
        <v>Caja 25 pack 6 lapices</v>
      </c>
      <c r="E244" s="40">
        <v>200.0</v>
      </c>
    </row>
    <row r="245" ht="22.5" customHeight="1">
      <c r="B245" s="42">
        <v>46002.0</v>
      </c>
      <c r="C245" s="38" t="s">
        <v>35</v>
      </c>
      <c r="D245" s="39" t="str">
        <f>Ventas[Codigo]</f>
        <v>Set Flexi Vox (transparente)</v>
      </c>
      <c r="E245" s="40">
        <v>122.0</v>
      </c>
    </row>
    <row r="246" ht="22.5" customHeight="1">
      <c r="B246" s="42">
        <v>46003.0</v>
      </c>
      <c r="C246" s="38" t="s">
        <v>118</v>
      </c>
      <c r="D246" s="39" t="str">
        <f>Ventas[Codigo]</f>
        <v>Pack 126 ceras</v>
      </c>
      <c r="E246" s="40">
        <f>21+24*6+24+8</f>
        <v>197</v>
      </c>
    </row>
    <row r="247" ht="22.5" customHeight="1">
      <c r="B247" s="42">
        <v>46006.0</v>
      </c>
      <c r="C247" s="43"/>
      <c r="D247" s="39" t="str">
        <f>Ventas[Codigo]</f>
        <v/>
      </c>
      <c r="E247" s="40"/>
    </row>
    <row r="248" ht="22.5" customHeight="1">
      <c r="B248" s="42">
        <v>46006.0</v>
      </c>
      <c r="C248" s="38" t="s">
        <v>27</v>
      </c>
      <c r="D248" s="39" t="str">
        <f>Ventas[Codigo]</f>
        <v>Peonza pack mini (48mm)</v>
      </c>
      <c r="E248" s="40">
        <v>86.0</v>
      </c>
    </row>
    <row r="249" ht="22.5" customHeight="1">
      <c r="B249" s="42">
        <v>46006.0</v>
      </c>
      <c r="C249" s="38" t="s">
        <v>103</v>
      </c>
      <c r="D249" s="39" t="str">
        <f>Ventas[Codigo]</f>
        <v>200g Menú Junior</v>
      </c>
      <c r="E249" s="40">
        <f>100+98+102</f>
        <v>300</v>
      </c>
    </row>
    <row r="250" ht="22.5" customHeight="1">
      <c r="B250" s="42">
        <v>46006.0</v>
      </c>
      <c r="C250" s="38" t="s">
        <v>126</v>
      </c>
      <c r="D250" s="39" t="str">
        <f>Ventas[Codigo]</f>
        <v>Menu grande</v>
      </c>
      <c r="E250" s="40">
        <f>21*4</f>
        <v>84</v>
      </c>
    </row>
    <row r="251" ht="22.5" customHeight="1">
      <c r="B251" s="42">
        <v>46006.0</v>
      </c>
      <c r="C251" s="38" t="s">
        <v>137</v>
      </c>
      <c r="D251" s="39" t="str">
        <f>Ventas[Codigo]</f>
        <v>800g Gusanos de la harina</v>
      </c>
      <c r="E251" s="40">
        <f>28</f>
        <v>28</v>
      </c>
    </row>
    <row r="252" ht="22.5" customHeight="1">
      <c r="B252" s="42">
        <v>46006.0</v>
      </c>
      <c r="C252" s="38" t="s">
        <v>26</v>
      </c>
      <c r="D252" s="39" t="str">
        <f>Ventas[Codigo]</f>
        <v>Peonza pack tradi (52mm)</v>
      </c>
      <c r="E252" s="40">
        <f>64</f>
        <v>64</v>
      </c>
    </row>
    <row r="253" ht="22.5" customHeight="1">
      <c r="B253" s="42">
        <v>46006.0</v>
      </c>
      <c r="C253" s="38" t="s">
        <v>118</v>
      </c>
      <c r="D253" s="39" t="str">
        <f>Ventas[Codigo]</f>
        <v>Pack 126 ceras</v>
      </c>
      <c r="E253" s="40">
        <v>8.0</v>
      </c>
    </row>
    <row r="254" ht="22.5" customHeight="1">
      <c r="B254" s="42">
        <v>46006.0</v>
      </c>
      <c r="C254" s="38" t="s">
        <v>108</v>
      </c>
      <c r="D254" s="39" t="str">
        <f>Ventas[Codigo]</f>
        <v>75g Gammarus</v>
      </c>
      <c r="E254" s="40">
        <f>200*2</f>
        <v>400</v>
      </c>
    </row>
    <row r="255" ht="22.5" customHeight="1">
      <c r="B255" s="42">
        <v>46008.0</v>
      </c>
      <c r="C255" s="38" t="s">
        <v>34</v>
      </c>
      <c r="D255" s="39" t="str">
        <f>Ventas[Codigo]</f>
        <v>Solo tubo Flexi Vox (negro)</v>
      </c>
      <c r="E255" s="40">
        <v>380.0</v>
      </c>
    </row>
    <row r="256" ht="22.5" customHeight="1">
      <c r="B256" s="42">
        <v>46008.0</v>
      </c>
      <c r="C256" s="38" t="s">
        <v>33</v>
      </c>
      <c r="D256" s="39" t="str">
        <f>Ventas[Codigo]</f>
        <v>Solo tubo Flexi Vox (rojo)</v>
      </c>
      <c r="E256" s="40">
        <v>373.0</v>
      </c>
    </row>
    <row r="257" ht="22.5" customHeight="1">
      <c r="B257" s="42">
        <v>46013.0</v>
      </c>
      <c r="C257" s="38" t="s">
        <v>111</v>
      </c>
      <c r="D257" s="39" t="str">
        <f>Ventas[Codigo]</f>
        <v>150g Calcio en polvo</v>
      </c>
      <c r="E257" s="40">
        <f>134+1</f>
        <v>135</v>
      </c>
    </row>
    <row r="258" ht="22.5" customHeight="1">
      <c r="B258" s="42">
        <v>46020.0</v>
      </c>
      <c r="C258" s="38" t="s">
        <v>111</v>
      </c>
      <c r="D258" s="39" t="str">
        <f>Ventas[Codigo]</f>
        <v>150g Calcio en polvo</v>
      </c>
      <c r="E258" s="40">
        <f>134+12</f>
        <v>146</v>
      </c>
    </row>
    <row r="259" ht="22.5" customHeight="1">
      <c r="B259" s="42">
        <v>46021.0</v>
      </c>
      <c r="C259" s="38" t="s">
        <v>111</v>
      </c>
      <c r="D259" s="39" t="str">
        <f>Ventas[Codigo]</f>
        <v>150g Calcio en polvo</v>
      </c>
      <c r="E259" s="40">
        <v>112.0</v>
      </c>
    </row>
    <row r="260" ht="22.5" customHeight="1">
      <c r="B260" s="42">
        <v>46021.0</v>
      </c>
      <c r="C260" s="38" t="s">
        <v>32</v>
      </c>
      <c r="D260" s="39" t="str">
        <f>Ventas[Codigo]</f>
        <v>Solo tubo Flexi Vox (transparente)</v>
      </c>
      <c r="E260" s="40">
        <v>387.0</v>
      </c>
    </row>
    <row r="261" ht="22.5" customHeight="1">
      <c r="B261" s="42">
        <v>46022.0</v>
      </c>
      <c r="C261" s="38" t="s">
        <v>37</v>
      </c>
      <c r="D261" s="39" t="str">
        <f>Ventas[Codigo]</f>
        <v>Set Flexi Vox (negro)</v>
      </c>
      <c r="E261" s="40">
        <v>275.0</v>
      </c>
    </row>
    <row r="262" ht="22.5" customHeight="1">
      <c r="B262" s="42">
        <v>46022.0</v>
      </c>
      <c r="C262" s="38" t="s">
        <v>35</v>
      </c>
      <c r="D262" s="39" t="str">
        <f>Ventas[Codigo]</f>
        <v>Set Flexi Vox (transparente)</v>
      </c>
      <c r="E262" s="40">
        <v>40.0</v>
      </c>
    </row>
    <row r="263" ht="22.5" customHeight="1">
      <c r="B263" s="42">
        <v>46022.0</v>
      </c>
      <c r="C263" s="38" t="s">
        <v>36</v>
      </c>
      <c r="D263" s="39" t="str">
        <f>Ventas[Codigo]</f>
        <v>Set Flexi Vox (rojo)</v>
      </c>
      <c r="E263" s="40">
        <v>288.0</v>
      </c>
    </row>
    <row r="264" ht="22.5" customHeight="1">
      <c r="B264" s="40" t="s">
        <v>155</v>
      </c>
      <c r="C264" s="38" t="s">
        <v>35</v>
      </c>
      <c r="D264" s="39" t="str">
        <f>Ventas[Codigo]</f>
        <v>Set Flexi Vox (transparente)</v>
      </c>
      <c r="E264" s="40">
        <v>6.0</v>
      </c>
    </row>
    <row r="265" ht="22.5" customHeight="1">
      <c r="B265" s="40" t="s">
        <v>157</v>
      </c>
      <c r="C265" s="38" t="s">
        <v>37</v>
      </c>
      <c r="D265" s="39" t="str">
        <f>Ventas[Codigo]</f>
        <v>Set Flexi Vox (negro)</v>
      </c>
      <c r="E265" s="40">
        <v>7.0</v>
      </c>
    </row>
    <row r="266" ht="22.5" customHeight="1">
      <c r="B266" s="42">
        <v>46024.0</v>
      </c>
      <c r="C266" s="38" t="s">
        <v>111</v>
      </c>
      <c r="D266" s="39" t="str">
        <f>Ventas[Codigo]</f>
        <v>150g Calcio en polvo</v>
      </c>
      <c r="E266" s="40">
        <v>110.0</v>
      </c>
    </row>
    <row r="267" ht="22.5" customHeight="1">
      <c r="B267" s="42">
        <v>46030.0</v>
      </c>
      <c r="C267" s="38" t="s">
        <v>108</v>
      </c>
      <c r="D267" s="39" t="str">
        <f>Ventas[Codigo]</f>
        <v>75g Gammarus</v>
      </c>
      <c r="E267" s="40">
        <f>2*200</f>
        <v>400</v>
      </c>
    </row>
    <row r="268" ht="22.5" customHeight="1">
      <c r="B268" s="42">
        <v>46035.0</v>
      </c>
      <c r="C268" s="38" t="s">
        <v>108</v>
      </c>
      <c r="D268" s="39" t="str">
        <f>Ventas[Codigo]</f>
        <v>75g Gammarus</v>
      </c>
      <c r="E268" s="40">
        <f>638</f>
        <v>638</v>
      </c>
    </row>
    <row r="269" ht="22.5" customHeight="1">
      <c r="B269" s="42">
        <v>46035.0</v>
      </c>
      <c r="C269" s="38" t="s">
        <v>147</v>
      </c>
      <c r="D269" s="39" t="str">
        <f>Ventas[Codigo]</f>
        <v>300g Gammarus</v>
      </c>
      <c r="E269" s="40">
        <f>45*4+4</f>
        <v>184</v>
      </c>
    </row>
    <row r="270" ht="22.5" customHeight="1">
      <c r="B270" s="42">
        <v>46036.0</v>
      </c>
      <c r="C270" s="38" t="s">
        <v>35</v>
      </c>
      <c r="D270" s="39" t="str">
        <f>Ventas[Codigo]</f>
        <v>Set Flexi Vox (transparente)</v>
      </c>
      <c r="E270" s="40">
        <f>112+240</f>
        <v>352</v>
      </c>
    </row>
    <row r="271" ht="22.5" customHeight="1">
      <c r="B271" s="42">
        <v>46036.0</v>
      </c>
      <c r="C271" s="38" t="s">
        <v>36</v>
      </c>
      <c r="D271" s="39" t="str">
        <f>Ventas[Codigo]</f>
        <v>Set Flexi Vox (rojo)</v>
      </c>
      <c r="E271" s="40">
        <v>112.0</v>
      </c>
    </row>
    <row r="272" ht="22.5" customHeight="1">
      <c r="B272" s="42">
        <v>46036.0</v>
      </c>
      <c r="C272" s="38" t="s">
        <v>37</v>
      </c>
      <c r="D272" s="39" t="str">
        <f>Ventas[Codigo]</f>
        <v>Set Flexi Vox (negro)</v>
      </c>
      <c r="E272" s="40">
        <f>112+2</f>
        <v>114</v>
      </c>
    </row>
    <row r="273" ht="22.5" customHeight="1">
      <c r="B273" s="42">
        <v>46042.0</v>
      </c>
      <c r="C273" s="38" t="s">
        <v>36</v>
      </c>
      <c r="D273" s="39" t="str">
        <f>Ventas[Codigo]</f>
        <v>Set Flexi Vox (rojo)</v>
      </c>
      <c r="E273" s="40">
        <f>112*2+1</f>
        <v>225</v>
      </c>
    </row>
    <row r="274" ht="22.5" customHeight="1">
      <c r="B274" s="42">
        <v>46059.0</v>
      </c>
      <c r="C274" s="38" t="s">
        <v>35</v>
      </c>
      <c r="D274" s="39" t="str">
        <f>Ventas[Codigo]</f>
        <v>Set Flexi Vox (transparente)</v>
      </c>
      <c r="E274" s="40">
        <f>230</f>
        <v>230</v>
      </c>
    </row>
    <row r="275" ht="22.5" customHeight="1">
      <c r="B275" s="42">
        <v>46059.0</v>
      </c>
      <c r="C275" s="38" t="s">
        <v>37</v>
      </c>
      <c r="D275" s="39" t="str">
        <f>Ventas[Codigo]</f>
        <v>Set Flexi Vox (negro)</v>
      </c>
      <c r="E275" s="40">
        <f>237+8</f>
        <v>245</v>
      </c>
    </row>
    <row r="276" ht="22.5" customHeight="1">
      <c r="B276" s="42">
        <v>46064.0</v>
      </c>
      <c r="C276" s="38" t="s">
        <v>132</v>
      </c>
      <c r="D276" s="39" t="str">
        <f>Ventas[Codigo]</f>
        <v>175g Gusanos de la harina</v>
      </c>
      <c r="E276" s="40">
        <f>86*4</f>
        <v>344</v>
      </c>
    </row>
    <row r="277" ht="22.5" customHeight="1">
      <c r="B277" s="42">
        <v>46064.0</v>
      </c>
      <c r="C277" s="38" t="s">
        <v>135</v>
      </c>
      <c r="D277" s="39" t="str">
        <f>Ventas[Codigo]</f>
        <v>300g Gusanos de la harina</v>
      </c>
      <c r="E277" s="40">
        <f>48*7</f>
        <v>336</v>
      </c>
    </row>
    <row r="278" ht="22.5" customHeight="1">
      <c r="B278" s="42">
        <v>46064.0</v>
      </c>
      <c r="C278" s="38" t="s">
        <v>137</v>
      </c>
      <c r="D278" s="39" t="str">
        <f>Ventas[Codigo]</f>
        <v>800g Gusanos de la harina</v>
      </c>
      <c r="E278" s="40">
        <v>227.0</v>
      </c>
    </row>
    <row r="279" ht="22.5" customHeight="1">
      <c r="B279" s="42">
        <v>46066.0</v>
      </c>
      <c r="C279" s="38" t="s">
        <v>111</v>
      </c>
      <c r="D279" s="39" t="str">
        <f>Ventas[Codigo]</f>
        <v>150g Calcio en polvo</v>
      </c>
      <c r="E279" s="40">
        <f>14+133</f>
        <v>147</v>
      </c>
    </row>
    <row r="280" ht="22.5" customHeight="1">
      <c r="B280" s="42">
        <v>46069.0</v>
      </c>
      <c r="C280" s="38" t="s">
        <v>111</v>
      </c>
      <c r="D280" s="39" t="str">
        <f>Ventas[Codigo]</f>
        <v>150g Calcio en polvo</v>
      </c>
      <c r="E280" s="40">
        <f>130*4+70</f>
        <v>590</v>
      </c>
    </row>
    <row r="281" ht="22.5" customHeight="1">
      <c r="B281" s="42">
        <v>46071.0</v>
      </c>
      <c r="C281" s="38" t="s">
        <v>139</v>
      </c>
      <c r="D281" s="39" t="str">
        <f>Ventas[Codigo]</f>
        <v>250g Calcio en polvo</v>
      </c>
      <c r="E281" s="40">
        <f>6*80+20</f>
        <v>500</v>
      </c>
    </row>
    <row r="282" ht="22.5" customHeight="1">
      <c r="B282" s="42">
        <v>46073.0</v>
      </c>
      <c r="C282" s="38" t="s">
        <v>140</v>
      </c>
      <c r="D282" s="39" t="str">
        <f>Ventas[Codigo]</f>
        <v>1000g Larvas mosca</v>
      </c>
      <c r="E282" s="40">
        <f>18*4+18*3+20*3+12</f>
        <v>198</v>
      </c>
    </row>
    <row r="283" ht="22.5" customHeight="1">
      <c r="B283" s="40" t="s">
        <v>220</v>
      </c>
      <c r="C283" s="38" t="s">
        <v>14</v>
      </c>
      <c r="D283" s="39" t="str">
        <f>Ventas[Codigo]</f>
        <v>125 Blister 2 euro</v>
      </c>
      <c r="E283" s="40">
        <v>-55.0</v>
      </c>
    </row>
    <row r="284" ht="22.5" customHeight="1">
      <c r="B284" s="40" t="s">
        <v>220</v>
      </c>
      <c r="C284" s="38" t="s">
        <v>17</v>
      </c>
      <c r="D284" s="39" t="str">
        <f>Ventas[Codigo]</f>
        <v>125 Blister 20 cts</v>
      </c>
      <c r="E284" s="40">
        <v>-10.0</v>
      </c>
    </row>
    <row r="285" ht="22.5" customHeight="1">
      <c r="B285" s="40" t="s">
        <v>220</v>
      </c>
      <c r="C285" s="38" t="s">
        <v>32</v>
      </c>
      <c r="D285" s="39" t="str">
        <f>Ventas[Codigo]</f>
        <v>Solo tubo Flexi Vox (transparente)</v>
      </c>
      <c r="E285" s="40">
        <v>-15.0</v>
      </c>
    </row>
    <row r="286" ht="22.5" customHeight="1">
      <c r="B286" s="40" t="s">
        <v>220</v>
      </c>
      <c r="C286" s="38" t="s">
        <v>147</v>
      </c>
      <c r="D286" s="39" t="str">
        <f>Ventas[Codigo]</f>
        <v>300g Gammarus</v>
      </c>
      <c r="E286" s="40">
        <v>22.0</v>
      </c>
    </row>
    <row r="287" ht="22.5" customHeight="1">
      <c r="B287" s="42"/>
      <c r="C287" s="43"/>
      <c r="D287" s="39" t="str">
        <f>Ventas[Codigo]</f>
        <v/>
      </c>
      <c r="E287" s="40"/>
    </row>
    <row r="288" ht="22.5" customHeight="1">
      <c r="B288" s="42">
        <v>46078.0</v>
      </c>
      <c r="C288" s="38" t="s">
        <v>35</v>
      </c>
      <c r="D288" s="39" t="str">
        <f>Ventas[Codigo]</f>
        <v>Set Flexi Vox (transparente)</v>
      </c>
      <c r="E288" s="40">
        <f>82*7+26</f>
        <v>600</v>
      </c>
    </row>
    <row r="289" ht="22.5" customHeight="1">
      <c r="B289" s="42">
        <v>46078.0</v>
      </c>
      <c r="C289" s="38" t="s">
        <v>36</v>
      </c>
      <c r="D289" s="39" t="str">
        <f>Ventas[Codigo]</f>
        <v>Set Flexi Vox (rojo)</v>
      </c>
      <c r="E289" s="40">
        <f>120+128+81</f>
        <v>329</v>
      </c>
    </row>
    <row r="290" ht="22.5" customHeight="1">
      <c r="B290" s="42">
        <v>46078.0</v>
      </c>
      <c r="C290" s="38" t="s">
        <v>37</v>
      </c>
      <c r="D290" s="39" t="str">
        <f>Ventas[Codigo]</f>
        <v>Set Flexi Vox (negro)</v>
      </c>
      <c r="E290" s="40">
        <f>82*3+56</f>
        <v>302</v>
      </c>
    </row>
    <row r="291" ht="22.5" customHeight="1">
      <c r="B291" s="42">
        <v>46079.0</v>
      </c>
      <c r="C291" s="38" t="s">
        <v>143</v>
      </c>
      <c r="D291" s="39" t="str">
        <f>Ventas[Codigo]</f>
        <v>900g Menú Sticks</v>
      </c>
      <c r="E291" s="40">
        <f>23*13</f>
        <v>299</v>
      </c>
    </row>
    <row r="292" ht="22.5" customHeight="1">
      <c r="B292" s="42">
        <v>46080.0</v>
      </c>
      <c r="C292" s="38" t="s">
        <v>146</v>
      </c>
      <c r="D292" s="39" t="str">
        <f>Ventas[Codigo]</f>
        <v>1500g Menú Sticks</v>
      </c>
      <c r="E292" s="40">
        <f>15*15</f>
        <v>225</v>
      </c>
    </row>
    <row r="293" ht="22.5" customHeight="1">
      <c r="B293" s="42">
        <v>46080.0</v>
      </c>
      <c r="C293" s="38" t="s">
        <v>103</v>
      </c>
      <c r="D293" s="39" t="str">
        <f>Ventas[Codigo]</f>
        <v>200g Menú Junior</v>
      </c>
      <c r="E293" s="40">
        <v>101.0</v>
      </c>
    </row>
    <row r="294" ht="22.5" customHeight="1">
      <c r="B294" s="42"/>
      <c r="C294" s="43"/>
      <c r="D294" s="39" t="str">
        <f>Ventas[Codigo]</f>
        <v/>
      </c>
      <c r="E294" s="40"/>
    </row>
    <row r="295" ht="22.5" customHeight="1">
      <c r="B295" s="42"/>
      <c r="C295" s="43"/>
      <c r="D295" s="39" t="str">
        <f>Ventas[Codigo]</f>
        <v/>
      </c>
      <c r="E295" s="40"/>
    </row>
    <row r="296" ht="22.5" customHeight="1">
      <c r="B296" s="42"/>
      <c r="C296" s="43"/>
      <c r="D296" s="39" t="str">
        <f>Ventas[Codigo]</f>
        <v/>
      </c>
      <c r="E296" s="40"/>
    </row>
    <row r="297" ht="22.5" customHeight="1">
      <c r="B297" s="42"/>
      <c r="C297" s="43"/>
      <c r="D297" s="39" t="str">
        <f>Ventas[Codigo]</f>
        <v/>
      </c>
      <c r="E297" s="40"/>
    </row>
    <row r="298" ht="22.5" customHeight="1">
      <c r="B298" s="42"/>
      <c r="C298" s="43"/>
      <c r="D298" s="39" t="str">
        <f>Ventas[Codigo]</f>
        <v/>
      </c>
      <c r="E298" s="40"/>
    </row>
    <row r="299" ht="22.5" customHeight="1">
      <c r="B299" s="42"/>
      <c r="C299" s="43"/>
      <c r="D299" s="39" t="str">
        <f>Ventas[Codigo]</f>
        <v/>
      </c>
      <c r="E299" s="40"/>
    </row>
    <row r="300" ht="22.5" customHeight="1">
      <c r="B300" s="42"/>
      <c r="C300" s="43"/>
      <c r="D300" s="39" t="str">
        <f>Ventas[Codigo]</f>
        <v/>
      </c>
      <c r="E300" s="40"/>
    </row>
    <row r="301" ht="22.5" customHeight="1">
      <c r="B301" s="42"/>
      <c r="C301" s="43"/>
      <c r="D301" s="39" t="str">
        <f>Ventas[Codigo]</f>
        <v/>
      </c>
      <c r="E301" s="40"/>
    </row>
    <row r="302" ht="22.5" customHeight="1">
      <c r="B302" s="42"/>
      <c r="C302" s="43"/>
      <c r="D302" s="39" t="str">
        <f>Ventas[Codigo]</f>
        <v/>
      </c>
      <c r="E302" s="40"/>
    </row>
    <row r="303" ht="22.5" customHeight="1">
      <c r="B303" s="42"/>
      <c r="C303" s="43"/>
      <c r="D303" s="39" t="str">
        <f>Ventas[Codigo]</f>
        <v/>
      </c>
      <c r="E303" s="40"/>
    </row>
    <row r="304" ht="22.5" customHeight="1">
      <c r="B304" s="42"/>
      <c r="C304" s="43"/>
      <c r="D304" s="39" t="str">
        <f>Ventas[Codigo]</f>
        <v/>
      </c>
      <c r="E304" s="40"/>
    </row>
    <row r="305" ht="22.5" customHeight="1">
      <c r="B305" s="42"/>
      <c r="C305" s="43"/>
      <c r="D305" s="39" t="str">
        <f>Ventas[Codigo]</f>
        <v/>
      </c>
      <c r="E305" s="40"/>
    </row>
    <row r="306" ht="22.5" customHeight="1">
      <c r="B306" s="42"/>
      <c r="C306" s="43"/>
      <c r="D306" s="39" t="str">
        <f>Ventas[Codigo]</f>
        <v/>
      </c>
      <c r="E306" s="40"/>
    </row>
    <row r="307" ht="22.5" customHeight="1">
      <c r="B307" s="42"/>
      <c r="C307" s="43"/>
      <c r="D307" s="39" t="str">
        <f>Ventas[Codigo]</f>
        <v/>
      </c>
      <c r="E307" s="40"/>
    </row>
    <row r="308" ht="22.5" customHeight="1">
      <c r="B308" s="42"/>
      <c r="C308" s="43"/>
      <c r="D308" s="39" t="str">
        <f>Ventas[Codigo]</f>
        <v/>
      </c>
      <c r="E308" s="40"/>
    </row>
    <row r="309" ht="22.5" customHeight="1">
      <c r="B309" s="42"/>
      <c r="C309" s="43"/>
      <c r="D309" s="39" t="str">
        <f>Ventas[Codigo]</f>
        <v/>
      </c>
      <c r="E309" s="40"/>
    </row>
    <row r="310" ht="22.5" customHeight="1">
      <c r="B310" s="42"/>
      <c r="C310" s="43"/>
      <c r="D310" s="39" t="str">
        <f>Ventas[Codigo]</f>
        <v/>
      </c>
      <c r="E310" s="40"/>
    </row>
    <row r="311" ht="22.5" customHeight="1">
      <c r="B311" s="42"/>
      <c r="C311" s="43"/>
      <c r="D311" s="39" t="str">
        <f>Ventas[Codigo]</f>
        <v/>
      </c>
      <c r="E311" s="40"/>
    </row>
    <row r="312" ht="22.5" customHeight="1">
      <c r="B312" s="42"/>
      <c r="C312" s="43"/>
      <c r="D312" s="39" t="str">
        <f>Ventas[Codigo]</f>
        <v/>
      </c>
      <c r="E312" s="40"/>
    </row>
    <row r="313" ht="22.5" customHeight="1">
      <c r="B313" s="42"/>
      <c r="C313" s="43"/>
      <c r="D313" s="39" t="str">
        <f>Ventas[Codigo]</f>
        <v/>
      </c>
      <c r="E313" s="40"/>
    </row>
    <row r="314" ht="22.5" customHeight="1">
      <c r="B314" s="42"/>
      <c r="C314" s="43"/>
      <c r="D314" s="39" t="str">
        <f>Ventas[Codigo]</f>
        <v/>
      </c>
      <c r="E314" s="40"/>
    </row>
    <row r="315" ht="22.5" customHeight="1">
      <c r="B315" s="42"/>
      <c r="C315" s="43"/>
      <c r="D315" s="39" t="str">
        <f>Ventas[Codigo]</f>
        <v/>
      </c>
      <c r="E315" s="40"/>
    </row>
    <row r="316" ht="22.5" customHeight="1">
      <c r="B316" s="42"/>
      <c r="C316" s="43"/>
      <c r="D316" s="39" t="str">
        <f>Ventas[Codigo]</f>
        <v/>
      </c>
      <c r="E316" s="40"/>
    </row>
    <row r="317" ht="22.5" customHeight="1">
      <c r="B317" s="42"/>
      <c r="C317" s="43"/>
      <c r="D317" s="39" t="str">
        <f>Ventas[Codigo]</f>
        <v/>
      </c>
      <c r="E317" s="40"/>
    </row>
    <row r="318" ht="22.5" customHeight="1">
      <c r="B318" s="42"/>
      <c r="C318" s="43"/>
      <c r="D318" s="39" t="str">
        <f>Ventas[Codigo]</f>
        <v/>
      </c>
      <c r="E318" s="40"/>
    </row>
    <row r="319" ht="22.5" customHeight="1">
      <c r="B319" s="42"/>
      <c r="C319" s="43"/>
      <c r="D319" s="39" t="str">
        <f>Ventas[Codigo]</f>
        <v/>
      </c>
      <c r="E319" s="40"/>
    </row>
    <row r="320" ht="22.5" customHeight="1">
      <c r="B320" s="42"/>
      <c r="C320" s="43"/>
      <c r="D320" s="39" t="str">
        <f>Ventas[Codigo]</f>
        <v/>
      </c>
      <c r="E320" s="40"/>
    </row>
    <row r="321" ht="22.5" customHeight="1">
      <c r="B321" s="42"/>
      <c r="C321" s="43"/>
      <c r="D321" s="39" t="str">
        <f>Ventas[Codigo]</f>
        <v/>
      </c>
      <c r="E321" s="40"/>
    </row>
    <row r="322" ht="22.5" customHeight="1">
      <c r="B322" s="42"/>
      <c r="C322" s="43"/>
      <c r="D322" s="39" t="str">
        <f>Ventas[Codigo]</f>
        <v/>
      </c>
      <c r="E322" s="40"/>
    </row>
    <row r="323" ht="22.5" customHeight="1">
      <c r="B323" s="42"/>
      <c r="C323" s="43"/>
      <c r="D323" s="39" t="str">
        <f>Ventas[Codigo]</f>
        <v/>
      </c>
      <c r="E323" s="40"/>
    </row>
    <row r="324" ht="22.5" customHeight="1">
      <c r="B324" s="42"/>
      <c r="C324" s="43"/>
      <c r="D324" s="39" t="str">
        <f>Ventas[Codigo]</f>
        <v/>
      </c>
      <c r="E324" s="40"/>
    </row>
    <row r="325" ht="22.5" customHeight="1">
      <c r="B325" s="42"/>
      <c r="C325" s="43"/>
      <c r="D325" s="39" t="str">
        <f>Ventas[Codigo]</f>
        <v/>
      </c>
      <c r="E325" s="40"/>
    </row>
    <row r="326" ht="22.5" customHeight="1">
      <c r="B326" s="42"/>
      <c r="C326" s="43"/>
      <c r="D326" s="39" t="str">
        <f>Ventas[Codigo]</f>
        <v/>
      </c>
      <c r="E326" s="40"/>
    </row>
    <row r="327" ht="22.5" customHeight="1">
      <c r="B327" s="42"/>
      <c r="C327" s="43"/>
      <c r="D327" s="39" t="str">
        <f>Ventas[Codigo]</f>
        <v/>
      </c>
      <c r="E327" s="40"/>
    </row>
    <row r="328" ht="22.5" customHeight="1">
      <c r="B328" s="42"/>
      <c r="C328" s="43"/>
      <c r="D328" s="39" t="str">
        <f>Ventas[Codigo]</f>
        <v/>
      </c>
      <c r="E328" s="40"/>
    </row>
  </sheetData>
  <dataValidations>
    <dataValidation type="custom" allowBlank="1" showDropDown="1" sqref="B3:B328">
      <formula1>OR(NOT(ISERROR(DATEVALUE(B3))), AND(ISNUMBER(B3), LEFT(CELL("format", B3))="D"))</formula1>
    </dataValidation>
    <dataValidation type="list" allowBlank="1" sqref="C3:C328">
      <formula1>"Calcio 4 pcs,Calcio 8 pcs,Calcio 15 pcs,125 Blister 2 euro,125 Blister 1 euro,125 Blister 50 cts,125 Blister 20 cts,125 Blister 10 cts,125 Blister 5 cts,125 Blister 2 cts,125 Blister 1 cts,250 pack 1e + 2 e,250 Blister 1e,250 Blister 2e,200 Mix blister,40"&amp;"0 Mix blister,Peonza pack tradi (52mm),Peonza pack mini (48mm),Peonza pack boligrafo,Pack 126 ceras,Caja 50 pack 4 lapices,Caja 25 pack 6 lapices,Solo tubo Flexi Vox (transparente),Solo tubo Flexi Vox (rojo),Solo tubo Flexi Vox (negro),Set Flexi Vox (tran"&amp;"sparente),Set Flexi Vox (rojo),Set Flexi Vox (negro),200g Menú Junior,900g Menú Sticks,1500g Menú Sticks,Menu grande,75g Gammarus,300g Gammarus,175g Gusanos de la harina,300g Gusanos de la harina,800g Gusanos de la harina,150g Calcio en polvo,250g Calcio "&amp;"en polvo,Pegatina caja envio,1000g Larvas mosca"</formula1>
    </dataValidation>
  </dataValidation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25"/>
    <col customWidth="1" min="3" max="4" width="12.5"/>
    <col customWidth="1" min="8" max="8" width="8.38"/>
    <col customWidth="1" min="9" max="9" width="8.63"/>
    <col customWidth="1" min="10" max="10" width="8.13"/>
    <col customWidth="1" min="11" max="11" width="6.0"/>
    <col customWidth="1" min="12" max="12" width="6.63"/>
    <col customWidth="1" min="13" max="13" width="7.13"/>
    <col customWidth="1" min="15" max="15" width="12.63"/>
    <col customWidth="1" min="16" max="16" width="19.0"/>
    <col customWidth="1" min="17" max="17" width="15.0"/>
    <col customWidth="1" min="18" max="18" width="19.63"/>
  </cols>
  <sheetData>
    <row r="1">
      <c r="H1" s="71"/>
    </row>
    <row r="2" ht="22.5" customHeight="1">
      <c r="B2" s="10" t="s">
        <v>46</v>
      </c>
      <c r="C2" s="10" t="s">
        <v>214</v>
      </c>
      <c r="D2" s="32" t="s">
        <v>196</v>
      </c>
      <c r="E2" s="46" t="s">
        <v>197</v>
      </c>
      <c r="F2" s="46" t="s">
        <v>198</v>
      </c>
      <c r="G2" s="46" t="s">
        <v>199</v>
      </c>
      <c r="H2" s="72" t="s">
        <v>200</v>
      </c>
      <c r="I2" s="46" t="s">
        <v>203</v>
      </c>
      <c r="J2" s="47" t="s">
        <v>221</v>
      </c>
      <c r="K2" s="46" t="s">
        <v>222</v>
      </c>
      <c r="L2" s="73" t="s">
        <v>223</v>
      </c>
      <c r="M2" s="73" t="s">
        <v>224</v>
      </c>
      <c r="O2" s="74"/>
    </row>
    <row r="3" ht="22.5" customHeight="1">
      <c r="B3" s="35" t="s">
        <v>5</v>
      </c>
      <c r="C3" s="35" t="s">
        <v>225</v>
      </c>
      <c r="D3" s="35">
        <v>400.0</v>
      </c>
      <c r="E3" s="39">
        <f>Productos[Entradas]-Productos[Salidas]</f>
        <v>2</v>
      </c>
      <c r="F3" s="39">
        <f>SUMIFS(Ventas[Cantidad],Ventas[Producto],Productos[Producto])</f>
        <v>1834</v>
      </c>
      <c r="G3" s="39">
        <f>SUMIFS(Envios[Cantidad],Envios[Producto],Productos[Producto])</f>
        <v>1832</v>
      </c>
      <c r="H3" s="75" t="s">
        <v>226</v>
      </c>
      <c r="I3" s="40" t="s">
        <v>106</v>
      </c>
      <c r="J3" s="76" t="s">
        <v>227</v>
      </c>
      <c r="K3" s="76">
        <v>21.0</v>
      </c>
      <c r="L3" s="77"/>
      <c r="M3" s="77"/>
    </row>
    <row r="4" ht="22.5" customHeight="1">
      <c r="B4" s="40" t="s">
        <v>6</v>
      </c>
      <c r="C4" s="40" t="s">
        <v>228</v>
      </c>
      <c r="D4" s="35">
        <v>190.0</v>
      </c>
      <c r="E4" s="39">
        <f>Productos[Entradas]-Productos[Salidas]</f>
        <v>1</v>
      </c>
      <c r="F4" s="39">
        <f>SUMIFS(Ventas[Cantidad],Ventas[Producto],Productos[Producto])</f>
        <v>968</v>
      </c>
      <c r="G4" s="39">
        <f>SUMIFS(Envios[Cantidad],Envios[Producto],Productos[Producto])</f>
        <v>967</v>
      </c>
      <c r="H4" s="75" t="s">
        <v>229</v>
      </c>
      <c r="I4" s="40" t="s">
        <v>106</v>
      </c>
      <c r="J4" s="76" t="s">
        <v>230</v>
      </c>
      <c r="K4" s="76">
        <v>23.0</v>
      </c>
      <c r="L4" s="77"/>
      <c r="M4" s="77"/>
    </row>
    <row r="5" ht="22.5" customHeight="1">
      <c r="B5" s="40" t="s">
        <v>7</v>
      </c>
      <c r="C5" s="40" t="s">
        <v>231</v>
      </c>
      <c r="D5" s="35">
        <v>130.0</v>
      </c>
      <c r="E5" s="39">
        <f>Productos[Entradas]-Productos[Salidas]</f>
        <v>0</v>
      </c>
      <c r="F5" s="39">
        <f>SUMIFS(Ventas[Cantidad],Ventas[Producto],Productos[Producto])</f>
        <v>648</v>
      </c>
      <c r="G5" s="39">
        <f>SUMIFS(Envios[Cantidad],Envios[Producto],Productos[Producto])</f>
        <v>648</v>
      </c>
      <c r="H5" s="75" t="s">
        <v>232</v>
      </c>
      <c r="I5" s="40" t="s">
        <v>106</v>
      </c>
      <c r="J5" s="76" t="s">
        <v>233</v>
      </c>
      <c r="K5" s="76">
        <v>23.0</v>
      </c>
      <c r="L5" s="77"/>
      <c r="M5" s="77"/>
    </row>
    <row r="6" ht="22.5" customHeight="1">
      <c r="B6" s="40" t="s">
        <v>14</v>
      </c>
      <c r="C6" s="40" t="s">
        <v>234</v>
      </c>
      <c r="D6" s="35">
        <f>J6</f>
        <v>116</v>
      </c>
      <c r="E6" s="39">
        <f>Productos[Entradas]-Productos[Salidas]</f>
        <v>0</v>
      </c>
      <c r="F6" s="39">
        <f>SUMIFS(Ventas[Cantidad],Ventas[Producto],Productos[Producto])</f>
        <v>3245</v>
      </c>
      <c r="G6" s="39">
        <f>SUMIFS(Envios[Cantidad],Envios[Producto],Productos[Producto])</f>
        <v>3245</v>
      </c>
      <c r="H6" s="75">
        <v>175.0</v>
      </c>
      <c r="I6" s="40" t="s">
        <v>106</v>
      </c>
      <c r="J6" s="76">
        <v>116.0</v>
      </c>
      <c r="K6" s="76">
        <v>21.0</v>
      </c>
      <c r="L6" s="76"/>
      <c r="M6" s="76"/>
    </row>
    <row r="7" ht="22.5" customHeight="1">
      <c r="B7" s="40" t="s">
        <v>15</v>
      </c>
      <c r="C7" s="40" t="s">
        <v>235</v>
      </c>
      <c r="D7" s="35">
        <v>125.0</v>
      </c>
      <c r="E7" s="39">
        <f>Productos[Entradas]-Productos[Salidas]</f>
        <v>-3</v>
      </c>
      <c r="F7" s="39">
        <f>SUMIFS(Ventas[Cantidad],Ventas[Producto],Productos[Producto])</f>
        <v>2486</v>
      </c>
      <c r="G7" s="39">
        <f>SUMIFS(Envios[Cantidad],Envios[Producto],Productos[Producto])</f>
        <v>2489</v>
      </c>
      <c r="H7" s="75">
        <v>170.0</v>
      </c>
      <c r="I7" s="40" t="s">
        <v>106</v>
      </c>
      <c r="J7" s="76" t="s">
        <v>236</v>
      </c>
      <c r="K7" s="76">
        <v>22.5</v>
      </c>
      <c r="L7" s="76"/>
      <c r="M7" s="76"/>
    </row>
    <row r="8" ht="22.5" customHeight="1">
      <c r="B8" s="40" t="s">
        <v>16</v>
      </c>
      <c r="C8" s="40" t="s">
        <v>237</v>
      </c>
      <c r="D8" s="35">
        <f>J8</f>
        <v>104</v>
      </c>
      <c r="E8" s="39">
        <f>Productos[Entradas]-Productos[Salidas]</f>
        <v>0</v>
      </c>
      <c r="F8" s="39">
        <f>SUMIFS(Ventas[Cantidad],Ventas[Producto],Productos[Producto])</f>
        <v>969</v>
      </c>
      <c r="G8" s="39">
        <f>SUMIFS(Envios[Cantidad],Envios[Producto],Productos[Producto])</f>
        <v>969</v>
      </c>
      <c r="H8" s="75">
        <v>180.0</v>
      </c>
      <c r="I8" s="40" t="s">
        <v>106</v>
      </c>
      <c r="J8" s="76">
        <v>104.0</v>
      </c>
      <c r="K8" s="76">
        <v>19.0</v>
      </c>
      <c r="L8" s="77"/>
      <c r="M8" s="77"/>
    </row>
    <row r="9" ht="22.5" customHeight="1">
      <c r="B9" s="40" t="s">
        <v>17</v>
      </c>
      <c r="C9" s="40" t="s">
        <v>238</v>
      </c>
      <c r="D9" s="35">
        <v>120.0</v>
      </c>
      <c r="E9" s="39">
        <f>Productos[Entradas]-Productos[Salidas]</f>
        <v>128</v>
      </c>
      <c r="F9" s="39">
        <f>SUMIFS(Ventas[Cantidad],Ventas[Producto],Productos[Producto])</f>
        <v>1046</v>
      </c>
      <c r="G9" s="39">
        <f>SUMIFS(Envios[Cantidad],Envios[Producto],Productos[Producto])</f>
        <v>918</v>
      </c>
      <c r="H9" s="75">
        <v>153.0</v>
      </c>
      <c r="I9" s="40" t="s">
        <v>106</v>
      </c>
      <c r="J9" s="76" t="s">
        <v>239</v>
      </c>
      <c r="K9" s="76">
        <v>23.0</v>
      </c>
      <c r="L9" s="77"/>
      <c r="M9" s="77"/>
    </row>
    <row r="10" ht="22.5" customHeight="1">
      <c r="B10" s="40" t="s">
        <v>18</v>
      </c>
      <c r="C10" s="40" t="s">
        <v>240</v>
      </c>
      <c r="D10" s="35">
        <f t="shared" ref="D10:D11" si="1">J10</f>
        <v>75</v>
      </c>
      <c r="E10" s="39">
        <f>Productos[Entradas]-Productos[Salidas]</f>
        <v>232</v>
      </c>
      <c r="F10" s="39">
        <f>SUMIFS(Ventas[Cantidad],Ventas[Producto],Productos[Producto])</f>
        <v>849</v>
      </c>
      <c r="G10" s="39">
        <f>SUMIFS(Envios[Cantidad],Envios[Producto],Productos[Producto])</f>
        <v>617</v>
      </c>
      <c r="H10" s="75">
        <v>237.0</v>
      </c>
      <c r="I10" s="40" t="s">
        <v>106</v>
      </c>
      <c r="J10" s="76">
        <v>75.0</v>
      </c>
      <c r="K10" s="76">
        <v>20.0</v>
      </c>
      <c r="L10" s="76">
        <v>90.0</v>
      </c>
      <c r="M10" s="76">
        <v>23.0</v>
      </c>
    </row>
    <row r="11" ht="22.5" customHeight="1">
      <c r="B11" s="40" t="s">
        <v>19</v>
      </c>
      <c r="C11" s="40" t="s">
        <v>241</v>
      </c>
      <c r="D11" s="35">
        <f t="shared" si="1"/>
        <v>84</v>
      </c>
      <c r="E11" s="39">
        <f>Productos[Entradas]-Productos[Salidas]</f>
        <v>0</v>
      </c>
      <c r="F11" s="39">
        <f>SUMIFS(Ventas[Cantidad],Ventas[Producto],Productos[Producto])</f>
        <v>260</v>
      </c>
      <c r="G11" s="39">
        <f>SUMIFS(Envios[Cantidad],Envios[Producto],Productos[Producto])</f>
        <v>260</v>
      </c>
      <c r="H11" s="75">
        <v>203.0</v>
      </c>
      <c r="I11" s="40" t="s">
        <v>106</v>
      </c>
      <c r="J11" s="76">
        <v>84.0</v>
      </c>
      <c r="K11" s="76">
        <v>19.0</v>
      </c>
      <c r="L11" s="76">
        <v>100.0</v>
      </c>
      <c r="M11" s="76">
        <v>21.0</v>
      </c>
    </row>
    <row r="12" ht="22.5" customHeight="1">
      <c r="B12" s="40" t="s">
        <v>20</v>
      </c>
      <c r="C12" s="40" t="s">
        <v>242</v>
      </c>
      <c r="D12" s="35">
        <v>110.0</v>
      </c>
      <c r="E12" s="39">
        <f>Productos[Entradas]-Productos[Salidas]</f>
        <v>112</v>
      </c>
      <c r="F12" s="39">
        <f>SUMIFS(Ventas[Cantidad],Ventas[Producto],Productos[Producto])</f>
        <v>380</v>
      </c>
      <c r="G12" s="39">
        <f>SUMIFS(Envios[Cantidad],Envios[Producto],Productos[Producto])</f>
        <v>268</v>
      </c>
      <c r="H12" s="75">
        <v>191.0</v>
      </c>
      <c r="I12" s="40" t="s">
        <v>106</v>
      </c>
      <c r="J12" s="76" t="s">
        <v>243</v>
      </c>
      <c r="K12" s="76">
        <v>23.0</v>
      </c>
      <c r="L12" s="76"/>
      <c r="M12" s="76"/>
    </row>
    <row r="13" ht="22.5" customHeight="1">
      <c r="B13" s="40" t="s">
        <v>21</v>
      </c>
      <c r="C13" s="40" t="s">
        <v>244</v>
      </c>
      <c r="D13" s="35">
        <f>J13</f>
        <v>130</v>
      </c>
      <c r="E13" s="39">
        <f>Productos[Entradas]-Productos[Salidas]</f>
        <v>0</v>
      </c>
      <c r="F13" s="39">
        <f>SUMIFS(Ventas[Cantidad],Ventas[Producto],Productos[Producto])</f>
        <v>192</v>
      </c>
      <c r="G13" s="39">
        <f>SUMIFS(Envios[Cantidad],Envios[Producto],Productos[Producto])</f>
        <v>192</v>
      </c>
      <c r="H13" s="75">
        <v>171.0</v>
      </c>
      <c r="I13" s="40" t="s">
        <v>106</v>
      </c>
      <c r="J13" s="76">
        <v>130.0</v>
      </c>
      <c r="K13" s="76">
        <v>23.0</v>
      </c>
      <c r="L13" s="76"/>
      <c r="M13" s="76"/>
      <c r="O13" s="3"/>
    </row>
    <row r="14" ht="22.5" customHeight="1">
      <c r="B14" s="40" t="s">
        <v>22</v>
      </c>
      <c r="C14" s="40" t="s">
        <v>245</v>
      </c>
      <c r="D14" s="35">
        <v>66.0</v>
      </c>
      <c r="E14" s="39">
        <f>Productos[Entradas]-Productos[Salidas]</f>
        <v>-1</v>
      </c>
      <c r="F14" s="39">
        <f>SUMIFS(Ventas[Cantidad],Ventas[Producto],Productos[Producto])</f>
        <v>1716</v>
      </c>
      <c r="G14" s="39">
        <f>SUMIFS(Envios[Cantidad],Envios[Producto],Productos[Producto])</f>
        <v>1717</v>
      </c>
      <c r="H14" s="75">
        <v>342.0</v>
      </c>
      <c r="I14" s="40" t="s">
        <v>106</v>
      </c>
      <c r="J14" s="76" t="s">
        <v>246</v>
      </c>
      <c r="K14" s="76">
        <v>23.0</v>
      </c>
      <c r="L14" s="76"/>
      <c r="M14" s="76"/>
    </row>
    <row r="15" ht="22.5" customHeight="1">
      <c r="B15" s="40" t="s">
        <v>23</v>
      </c>
      <c r="C15" s="40" t="s">
        <v>247</v>
      </c>
      <c r="D15" s="35">
        <v>69.0</v>
      </c>
      <c r="E15" s="39">
        <f>Productos[Entradas]-Productos[Salidas]</f>
        <v>0</v>
      </c>
      <c r="F15" s="39">
        <f>SUMIFS(Ventas[Cantidad],Ventas[Producto],Productos[Producto])</f>
        <v>1065</v>
      </c>
      <c r="G15" s="39">
        <f>SUMIFS(Envios[Cantidad],Envios[Producto],Productos[Producto])</f>
        <v>1065</v>
      </c>
      <c r="H15" s="75">
        <v>340.0</v>
      </c>
      <c r="I15" s="40" t="s">
        <v>106</v>
      </c>
      <c r="J15" s="76" t="s">
        <v>248</v>
      </c>
      <c r="K15" s="76">
        <v>23.0</v>
      </c>
      <c r="L15" s="77"/>
      <c r="M15" s="77"/>
    </row>
    <row r="16" ht="22.5" customHeight="1">
      <c r="B16" s="40" t="s">
        <v>71</v>
      </c>
      <c r="C16" s="40" t="s">
        <v>249</v>
      </c>
      <c r="D16" s="35">
        <v>66.0</v>
      </c>
      <c r="E16" s="39">
        <f>Productos[Entradas]-Productos[Salidas]</f>
        <v>0</v>
      </c>
      <c r="F16" s="39">
        <f>SUMIFS(Ventas[Cantidad],Ventas[Producto],Productos[Producto])</f>
        <v>0</v>
      </c>
      <c r="G16" s="39">
        <f>SUMIFS(Envios[Cantidad],Envios[Producto],Productos[Producto])</f>
        <v>0</v>
      </c>
      <c r="H16" s="75">
        <v>340.0</v>
      </c>
      <c r="I16" s="40" t="s">
        <v>106</v>
      </c>
      <c r="J16" s="76" t="s">
        <v>250</v>
      </c>
      <c r="K16" s="76">
        <v>23.0</v>
      </c>
      <c r="L16" s="77"/>
      <c r="M16" s="77"/>
    </row>
    <row r="17" ht="22.5" customHeight="1">
      <c r="B17" s="40" t="s">
        <v>24</v>
      </c>
      <c r="C17" s="40" t="s">
        <v>251</v>
      </c>
      <c r="D17" s="35">
        <f t="shared" ref="D17:D18" si="2">J17</f>
        <v>66</v>
      </c>
      <c r="E17" s="39">
        <f>Productos[Entradas]-Productos[Salidas]</f>
        <v>0</v>
      </c>
      <c r="F17" s="39">
        <f>SUMIFS(Ventas[Cantidad],Ventas[Producto],Productos[Producto])</f>
        <v>2520</v>
      </c>
      <c r="G17" s="39">
        <f>SUMIFS(Envios[Cantidad],Envios[Producto],Productos[Producto])</f>
        <v>2520</v>
      </c>
      <c r="H17" s="75">
        <v>319.0</v>
      </c>
      <c r="I17" s="40" t="s">
        <v>106</v>
      </c>
      <c r="J17" s="76">
        <v>66.0</v>
      </c>
      <c r="K17" s="76">
        <v>22.0</v>
      </c>
      <c r="L17" s="77"/>
      <c r="M17" s="77"/>
    </row>
    <row r="18" ht="22.5" customHeight="1">
      <c r="B18" s="40" t="s">
        <v>25</v>
      </c>
      <c r="C18" s="40"/>
      <c r="D18" s="35">
        <f t="shared" si="2"/>
        <v>34</v>
      </c>
      <c r="E18" s="39">
        <f>Productos[Entradas]-Productos[Salidas]</f>
        <v>1</v>
      </c>
      <c r="F18" s="39">
        <f>SUMIFS(Ventas[Cantidad],Ventas[Producto],Productos[Producto])</f>
        <v>623</v>
      </c>
      <c r="G18" s="39">
        <f>SUMIFS(Envios[Cantidad],Envios[Producto],Productos[Producto])</f>
        <v>622</v>
      </c>
      <c r="H18" s="78">
        <v>630.0</v>
      </c>
      <c r="I18" s="40" t="s">
        <v>106</v>
      </c>
      <c r="J18" s="76">
        <v>34.0</v>
      </c>
      <c r="K18" s="76">
        <v>23.0</v>
      </c>
      <c r="L18" s="77"/>
      <c r="M18" s="77"/>
    </row>
    <row r="19" ht="22.5" customHeight="1">
      <c r="B19" s="40" t="s">
        <v>26</v>
      </c>
      <c r="C19" s="40" t="s">
        <v>252</v>
      </c>
      <c r="D19" s="35">
        <v>115.0</v>
      </c>
      <c r="E19" s="39">
        <f>Productos[Entradas]-Productos[Salidas]</f>
        <v>0</v>
      </c>
      <c r="F19" s="39">
        <f>SUMIFS(Ventas[Cantidad],Ventas[Producto],Productos[Producto])</f>
        <v>3287</v>
      </c>
      <c r="G19" s="39">
        <f>SUMIFS(Envios[Cantidad],Envios[Producto],Productos[Producto])</f>
        <v>3287</v>
      </c>
      <c r="H19" s="78">
        <v>192.2</v>
      </c>
      <c r="I19" s="40" t="s">
        <v>106</v>
      </c>
      <c r="J19" s="76">
        <v>115.0</v>
      </c>
      <c r="K19" s="76">
        <v>23.0</v>
      </c>
      <c r="L19" s="77"/>
      <c r="M19" s="77"/>
    </row>
    <row r="20" ht="22.5" customHeight="1">
      <c r="B20" s="40" t="s">
        <v>27</v>
      </c>
      <c r="C20" s="40" t="s">
        <v>253</v>
      </c>
      <c r="D20" s="35">
        <v>85.0</v>
      </c>
      <c r="E20" s="39">
        <f>Productos[Entradas]-Productos[Salidas]</f>
        <v>0</v>
      </c>
      <c r="F20" s="39">
        <f>SUMIFS(Ventas[Cantidad],Ventas[Producto],Productos[Producto])</f>
        <v>1115</v>
      </c>
      <c r="G20" s="39">
        <f>SUMIFS(Envios[Cantidad],Envios[Producto],Productos[Producto])</f>
        <v>1115</v>
      </c>
      <c r="H20" s="78">
        <v>260.0</v>
      </c>
      <c r="I20" s="40" t="s">
        <v>106</v>
      </c>
      <c r="J20" s="76">
        <v>85.0</v>
      </c>
      <c r="K20" s="76">
        <v>23.0</v>
      </c>
      <c r="L20" s="77"/>
      <c r="M20" s="77"/>
    </row>
    <row r="21" ht="22.5" customHeight="1">
      <c r="B21" s="40" t="s">
        <v>218</v>
      </c>
      <c r="C21" s="40"/>
      <c r="D21" s="35">
        <v>115.0</v>
      </c>
      <c r="E21" s="39">
        <f>Productos[Entradas]-Productos[Salidas]</f>
        <v>0</v>
      </c>
      <c r="F21" s="39">
        <f>SUMIFS(Ventas[Cantidad],Ventas[Producto],Productos[Producto])</f>
        <v>202</v>
      </c>
      <c r="G21" s="39">
        <f>SUMIFS(Envios[Cantidad],Envios[Producto],Productos[Producto])</f>
        <v>202</v>
      </c>
      <c r="H21" s="78" t="s">
        <v>254</v>
      </c>
      <c r="I21" s="40" t="s">
        <v>106</v>
      </c>
      <c r="J21" s="76" t="s">
        <v>254</v>
      </c>
      <c r="K21" s="76" t="s">
        <v>254</v>
      </c>
      <c r="L21" s="77"/>
      <c r="M21" s="77"/>
    </row>
    <row r="22" ht="22.5" customHeight="1">
      <c r="B22" s="40" t="s">
        <v>118</v>
      </c>
      <c r="C22" s="40"/>
      <c r="D22" s="35">
        <f>J22</f>
        <v>24</v>
      </c>
      <c r="E22" s="39">
        <f>Productos[Entradas]-Productos[Salidas]</f>
        <v>0</v>
      </c>
      <c r="F22" s="39">
        <f>SUMIFS(Ventas[Cantidad],Ventas[Producto],Productos[Producto])</f>
        <v>1718</v>
      </c>
      <c r="G22" s="39">
        <f>SUMIFS(Envios[Cantidad],Envios[Producto],Productos[Producto])</f>
        <v>1718</v>
      </c>
      <c r="H22" s="78">
        <v>935.0</v>
      </c>
      <c r="I22" s="40" t="s">
        <v>106</v>
      </c>
      <c r="J22" s="76">
        <v>24.0</v>
      </c>
      <c r="K22" s="76">
        <v>23.0</v>
      </c>
      <c r="L22" s="76"/>
      <c r="M22" s="76"/>
    </row>
    <row r="23" ht="22.5" customHeight="1">
      <c r="B23" s="40" t="s">
        <v>120</v>
      </c>
      <c r="C23" s="40"/>
      <c r="D23" s="35">
        <v>36.0</v>
      </c>
      <c r="E23" s="39">
        <f>Productos[Entradas]-Productos[Salidas]</f>
        <v>0</v>
      </c>
      <c r="F23" s="39">
        <f>SUMIFS(Ventas[Cantidad],Ventas[Producto],Productos[Producto])</f>
        <v>480</v>
      </c>
      <c r="G23" s="39">
        <f>SUMIFS(Envios[Cantidad],Envios[Producto],Productos[Producto])</f>
        <v>480</v>
      </c>
      <c r="H23" s="78" t="s">
        <v>254</v>
      </c>
      <c r="I23" s="40" t="s">
        <v>106</v>
      </c>
      <c r="J23" s="76">
        <v>38.0</v>
      </c>
      <c r="K23" s="76">
        <v>23.0</v>
      </c>
      <c r="L23" s="76"/>
      <c r="M23" s="76"/>
      <c r="O23" s="79" t="s">
        <v>255</v>
      </c>
    </row>
    <row r="24" ht="22.5" customHeight="1">
      <c r="B24" s="40" t="s">
        <v>123</v>
      </c>
      <c r="C24" s="40"/>
      <c r="D24" s="35">
        <v>51.0</v>
      </c>
      <c r="E24" s="39">
        <f>Productos[Entradas]-Productos[Salidas]</f>
        <v>1</v>
      </c>
      <c r="F24" s="39">
        <f>SUMIFS(Ventas[Cantidad],Ventas[Producto],Productos[Producto])</f>
        <v>1160</v>
      </c>
      <c r="G24" s="39">
        <f>SUMIFS(Envios[Cantidad],Envios[Producto],Productos[Producto])</f>
        <v>1159</v>
      </c>
      <c r="H24" s="78" t="s">
        <v>254</v>
      </c>
      <c r="I24" s="40" t="s">
        <v>106</v>
      </c>
      <c r="J24" s="76">
        <v>50.0</v>
      </c>
      <c r="K24" s="76">
        <v>23.0</v>
      </c>
      <c r="L24" s="76"/>
      <c r="M24" s="76"/>
      <c r="O24" s="3" t="s">
        <v>256</v>
      </c>
    </row>
    <row r="25" ht="22.5" customHeight="1">
      <c r="B25" s="40" t="s">
        <v>32</v>
      </c>
      <c r="C25" s="40" t="s">
        <v>257</v>
      </c>
      <c r="D25" s="35">
        <f t="shared" ref="D25:D27" si="3">J25</f>
        <v>300</v>
      </c>
      <c r="E25" s="39">
        <f>Productos[Entradas]-Productos[Salidas]</f>
        <v>4</v>
      </c>
      <c r="F25" s="39">
        <f>SUMIFS(Ventas[Cantidad],Ventas[Producto],Productos[Producto])</f>
        <v>2323</v>
      </c>
      <c r="G25" s="39">
        <f>SUMIFS(Envios[Cantidad],Envios[Producto],Productos[Producto])</f>
        <v>2319</v>
      </c>
      <c r="H25" s="78">
        <v>54.2</v>
      </c>
      <c r="I25" s="40" t="s">
        <v>106</v>
      </c>
      <c r="J25" s="76">
        <v>300.0</v>
      </c>
      <c r="K25" s="76">
        <v>17.4</v>
      </c>
      <c r="L25" s="76">
        <v>380.0</v>
      </c>
      <c r="M25" s="76">
        <v>22.0</v>
      </c>
      <c r="O25" s="3" t="s">
        <v>258</v>
      </c>
    </row>
    <row r="26" ht="22.5" customHeight="1">
      <c r="B26" s="40" t="s">
        <v>33</v>
      </c>
      <c r="C26" s="40" t="s">
        <v>259</v>
      </c>
      <c r="D26" s="35">
        <f t="shared" si="3"/>
        <v>300</v>
      </c>
      <c r="E26" s="39">
        <f>Productos[Entradas]-Productos[Salidas]</f>
        <v>-1</v>
      </c>
      <c r="F26" s="39">
        <f>SUMIFS(Ventas[Cantidad],Ventas[Producto],Productos[Producto])</f>
        <v>1108</v>
      </c>
      <c r="G26" s="39">
        <f>SUMIFS(Envios[Cantidad],Envios[Producto],Productos[Producto])</f>
        <v>1109</v>
      </c>
      <c r="H26" s="78">
        <v>54.2</v>
      </c>
      <c r="I26" s="40" t="s">
        <v>106</v>
      </c>
      <c r="J26" s="76">
        <v>300.0</v>
      </c>
      <c r="K26" s="76">
        <v>17.4</v>
      </c>
      <c r="L26" s="76">
        <v>380.0</v>
      </c>
      <c r="M26" s="76">
        <v>22.0</v>
      </c>
    </row>
    <row r="27" ht="22.5" customHeight="1">
      <c r="B27" s="40" t="s">
        <v>34</v>
      </c>
      <c r="C27" s="40" t="s">
        <v>260</v>
      </c>
      <c r="D27" s="35">
        <f t="shared" si="3"/>
        <v>300</v>
      </c>
      <c r="E27" s="39">
        <f>Productos[Entradas]-Productos[Salidas]</f>
        <v>8</v>
      </c>
      <c r="F27" s="39">
        <f>SUMIFS(Ventas[Cantidad],Ventas[Producto],Productos[Producto])</f>
        <v>1018</v>
      </c>
      <c r="G27" s="39">
        <f>SUMIFS(Envios[Cantidad],Envios[Producto],Productos[Producto])</f>
        <v>1010</v>
      </c>
      <c r="H27" s="78">
        <v>54.2</v>
      </c>
      <c r="I27" s="40" t="s">
        <v>106</v>
      </c>
      <c r="J27" s="76">
        <v>300.0</v>
      </c>
      <c r="K27" s="76">
        <v>17.4</v>
      </c>
      <c r="L27" s="76">
        <v>380.0</v>
      </c>
      <c r="M27" s="76">
        <v>22.0</v>
      </c>
    </row>
    <row r="28" ht="22.5" customHeight="1">
      <c r="B28" s="40" t="s">
        <v>35</v>
      </c>
      <c r="C28" s="40" t="s">
        <v>261</v>
      </c>
      <c r="D28" s="35">
        <v>112.0</v>
      </c>
      <c r="E28" s="39">
        <f>Productos[Entradas]-Productos[Salidas]</f>
        <v>26</v>
      </c>
      <c r="F28" s="39">
        <f>SUMIFS(Ventas[Cantidad],Ventas[Producto],Productos[Producto])</f>
        <v>4982</v>
      </c>
      <c r="G28" s="39">
        <f>SUMIFS(Envios[Cantidad],Envios[Producto],Productos[Producto])</f>
        <v>4956</v>
      </c>
      <c r="H28" s="78">
        <v>125.0</v>
      </c>
      <c r="I28" s="40" t="s">
        <v>106</v>
      </c>
      <c r="J28" s="76">
        <v>112.0</v>
      </c>
      <c r="K28" s="76">
        <v>15.0</v>
      </c>
      <c r="L28" s="76">
        <v>128.0</v>
      </c>
      <c r="M28" s="76">
        <v>18.0</v>
      </c>
      <c r="O28" s="3" t="s">
        <v>262</v>
      </c>
    </row>
    <row r="29" ht="22.5" customHeight="1">
      <c r="B29" s="40" t="s">
        <v>36</v>
      </c>
      <c r="C29" s="40" t="s">
        <v>263</v>
      </c>
      <c r="D29" s="35">
        <v>112.0</v>
      </c>
      <c r="E29" s="39">
        <f>Productos[Entradas]-Productos[Salidas]</f>
        <v>89</v>
      </c>
      <c r="F29" s="39">
        <f>SUMIFS(Ventas[Cantidad],Ventas[Producto],Productos[Producto])</f>
        <v>2114</v>
      </c>
      <c r="G29" s="39">
        <f>SUMIFS(Envios[Cantidad],Envios[Producto],Productos[Producto])</f>
        <v>2025</v>
      </c>
      <c r="H29" s="78">
        <v>125.0</v>
      </c>
      <c r="I29" s="40" t="s">
        <v>106</v>
      </c>
      <c r="J29" s="76">
        <v>112.0</v>
      </c>
      <c r="K29" s="76">
        <v>15.0</v>
      </c>
      <c r="L29" s="76">
        <v>128.0</v>
      </c>
      <c r="M29" s="76">
        <v>18.0</v>
      </c>
    </row>
    <row r="30" ht="22.5" customHeight="1">
      <c r="B30" s="40" t="s">
        <v>37</v>
      </c>
      <c r="C30" s="40" t="s">
        <v>264</v>
      </c>
      <c r="D30" s="35">
        <v>112.0</v>
      </c>
      <c r="E30" s="39">
        <f>Productos[Entradas]-Productos[Salidas]</f>
        <v>56</v>
      </c>
      <c r="F30" s="39">
        <f>SUMIFS(Ventas[Cantidad],Ventas[Producto],Productos[Producto])</f>
        <v>2149</v>
      </c>
      <c r="G30" s="39">
        <f>SUMIFS(Envios[Cantidad],Envios[Producto],Productos[Producto])</f>
        <v>2093</v>
      </c>
      <c r="H30" s="78">
        <v>125.0</v>
      </c>
      <c r="I30" s="40" t="s">
        <v>106</v>
      </c>
      <c r="J30" s="76">
        <v>112.0</v>
      </c>
      <c r="K30" s="76">
        <v>15.0</v>
      </c>
      <c r="L30" s="76">
        <v>128.0</v>
      </c>
      <c r="M30" s="76">
        <v>18.0</v>
      </c>
      <c r="O30" s="74"/>
    </row>
    <row r="31" ht="22.5" customHeight="1">
      <c r="B31" s="40" t="s">
        <v>265</v>
      </c>
      <c r="C31" s="40" t="s">
        <v>266</v>
      </c>
      <c r="D31" s="35">
        <v>102.0</v>
      </c>
      <c r="E31" s="39">
        <f>Productos[Entradas]-Productos[Salidas]</f>
        <v>0</v>
      </c>
      <c r="F31" s="39">
        <f>SUMIFS(Ventas[Cantidad],Ventas[Producto],Productos[Producto])</f>
        <v>0</v>
      </c>
      <c r="G31" s="39">
        <f>SUMIFS(Envios[Cantidad],Envios[Producto],Productos[Producto])</f>
        <v>0</v>
      </c>
      <c r="H31" s="78">
        <v>226.0</v>
      </c>
      <c r="I31" s="40" t="s">
        <v>106</v>
      </c>
      <c r="J31" s="76">
        <v>95.0</v>
      </c>
      <c r="K31" s="76">
        <v>22.5</v>
      </c>
      <c r="L31" s="77"/>
      <c r="M31" s="77"/>
    </row>
    <row r="32" ht="22.5" customHeight="1">
      <c r="B32" s="40" t="s">
        <v>126</v>
      </c>
      <c r="C32" s="40"/>
      <c r="D32" s="35">
        <f t="shared" ref="D32:D36" si="4">J32</f>
        <v>20</v>
      </c>
      <c r="E32" s="39">
        <f>Productos[Entradas]-Productos[Salidas]</f>
        <v>6</v>
      </c>
      <c r="F32" s="39">
        <f>SUMIFS(Ventas[Cantidad],Ventas[Producto],Productos[Producto])</f>
        <v>1624</v>
      </c>
      <c r="G32" s="39">
        <f>SUMIFS(Envios[Cantidad],Envios[Producto],Productos[Producto])</f>
        <v>1618</v>
      </c>
      <c r="H32" s="78">
        <v>1167.0</v>
      </c>
      <c r="I32" s="40" t="s">
        <v>106</v>
      </c>
      <c r="J32" s="76">
        <v>20.0</v>
      </c>
      <c r="K32" s="76">
        <v>22.5</v>
      </c>
      <c r="L32" s="77"/>
      <c r="M32" s="77"/>
    </row>
    <row r="33" ht="22.5" customHeight="1">
      <c r="B33" s="40" t="s">
        <v>108</v>
      </c>
      <c r="C33" s="40" t="s">
        <v>267</v>
      </c>
      <c r="D33" s="35">
        <f t="shared" si="4"/>
        <v>115</v>
      </c>
      <c r="E33" s="39">
        <f>Productos[Entradas]-Productos[Salidas]</f>
        <v>1252</v>
      </c>
      <c r="F33" s="39">
        <f>SUMIFS(Ventas[Cantidad],Ventas[Producto],Productos[Producto])</f>
        <v>3873</v>
      </c>
      <c r="G33" s="39">
        <f>SUMIFS(Envios[Cantidad],Envios[Producto],Productos[Producto])</f>
        <v>2621</v>
      </c>
      <c r="H33" s="75">
        <v>94.0</v>
      </c>
      <c r="I33" s="40" t="s">
        <v>106</v>
      </c>
      <c r="J33" s="76">
        <v>115.0</v>
      </c>
      <c r="K33" s="76">
        <v>11.0</v>
      </c>
      <c r="L33" s="76">
        <v>200.0</v>
      </c>
      <c r="M33" s="76">
        <v>20.0</v>
      </c>
    </row>
    <row r="34" ht="22.5" customHeight="1">
      <c r="B34" s="40" t="s">
        <v>147</v>
      </c>
      <c r="C34" s="39"/>
      <c r="D34" s="35">
        <f t="shared" si="4"/>
        <v>45</v>
      </c>
      <c r="E34" s="39">
        <f>Productos[Entradas]-Productos[Salidas]</f>
        <v>270</v>
      </c>
      <c r="F34" s="39">
        <f>SUMIFS(Ventas[Cantidad],Ventas[Producto],Productos[Producto])</f>
        <v>655</v>
      </c>
      <c r="G34" s="39">
        <f>SUMIFS(Envios[Cantidad],Envios[Producto],Productos[Producto])</f>
        <v>385</v>
      </c>
      <c r="H34" s="40">
        <v>415.0</v>
      </c>
      <c r="I34" s="40" t="s">
        <v>106</v>
      </c>
      <c r="J34" s="40">
        <v>45.0</v>
      </c>
      <c r="K34" s="40">
        <v>19.0</v>
      </c>
      <c r="L34" s="39"/>
      <c r="M34" s="39"/>
    </row>
    <row r="35" ht="22.5" customHeight="1">
      <c r="B35" s="40" t="s">
        <v>111</v>
      </c>
      <c r="C35" s="40" t="s">
        <v>268</v>
      </c>
      <c r="D35" s="35">
        <f t="shared" si="4"/>
        <v>130</v>
      </c>
      <c r="E35" s="39">
        <f>Productos[Entradas]-Productos[Salidas]</f>
        <v>592</v>
      </c>
      <c r="F35" s="39">
        <f>SUMIFS(Ventas[Cantidad],Ventas[Producto],Productos[Producto])</f>
        <v>2508</v>
      </c>
      <c r="G35" s="39">
        <f>SUMIFS(Envios[Cantidad],Envios[Producto],Productos[Producto])</f>
        <v>1916</v>
      </c>
      <c r="H35" s="75">
        <v>167.0</v>
      </c>
      <c r="I35" s="40" t="s">
        <v>106</v>
      </c>
      <c r="J35" s="76">
        <v>130.0</v>
      </c>
      <c r="K35" s="76">
        <v>23.0</v>
      </c>
      <c r="L35" s="76"/>
      <c r="M35" s="76"/>
    </row>
    <row r="36" ht="22.5" customHeight="1">
      <c r="B36" s="40" t="s">
        <v>139</v>
      </c>
      <c r="C36" s="40"/>
      <c r="D36" s="35">
        <f t="shared" si="4"/>
        <v>80</v>
      </c>
      <c r="E36" s="39">
        <f>Productos[Entradas]-Productos[Salidas]</f>
        <v>340</v>
      </c>
      <c r="F36" s="39">
        <f>SUMIFS(Ventas[Cantidad],Ventas[Producto],Productos[Producto])</f>
        <v>500</v>
      </c>
      <c r="G36" s="39">
        <f>SUMIFS(Envios[Cantidad],Envios[Producto],Productos[Producto])</f>
        <v>160</v>
      </c>
      <c r="H36" s="75"/>
      <c r="I36" s="40"/>
      <c r="J36" s="76">
        <v>80.0</v>
      </c>
      <c r="K36" s="76">
        <v>22.0</v>
      </c>
      <c r="L36" s="76"/>
      <c r="M36" s="76"/>
    </row>
    <row r="37" ht="22.5" customHeight="1">
      <c r="B37" s="40" t="s">
        <v>132</v>
      </c>
      <c r="C37" s="40"/>
      <c r="E37" s="39">
        <f>Productos[Entradas]-Productos[Salidas]</f>
        <v>0</v>
      </c>
      <c r="F37" s="39">
        <f>SUMIFS(Ventas[Cantidad],Ventas[Producto],Productos[Producto])</f>
        <v>344</v>
      </c>
      <c r="G37" s="39">
        <f>SUMIFS(Envios[Cantidad],Envios[Producto],Productos[Producto])</f>
        <v>344</v>
      </c>
      <c r="H37" s="75">
        <v>200.0</v>
      </c>
      <c r="I37" s="40" t="s">
        <v>106</v>
      </c>
      <c r="J37" s="76">
        <v>86.0</v>
      </c>
      <c r="K37" s="76">
        <v>18.0</v>
      </c>
      <c r="L37" s="76" t="s">
        <v>269</v>
      </c>
      <c r="M37" s="76"/>
    </row>
    <row r="38" ht="22.5" customHeight="1">
      <c r="B38" s="40" t="s">
        <v>135</v>
      </c>
      <c r="C38" s="40"/>
      <c r="D38" s="35"/>
      <c r="E38" s="39">
        <f>Productos[Entradas]-Productos[Salidas]</f>
        <v>0</v>
      </c>
      <c r="F38" s="39">
        <f>SUMIFS(Ventas[Cantidad],Ventas[Producto],Productos[Producto])</f>
        <v>336</v>
      </c>
      <c r="G38" s="39">
        <f>SUMIFS(Envios[Cantidad],Envios[Producto],Productos[Producto])</f>
        <v>336</v>
      </c>
      <c r="H38" s="75">
        <v>330.0</v>
      </c>
      <c r="I38" s="40" t="s">
        <v>106</v>
      </c>
      <c r="J38" s="76">
        <v>48.0</v>
      </c>
      <c r="K38" s="76">
        <v>16.5</v>
      </c>
      <c r="L38" s="76" t="s">
        <v>269</v>
      </c>
      <c r="M38" s="76"/>
    </row>
    <row r="39" ht="22.5" customHeight="1">
      <c r="B39" s="40" t="s">
        <v>137</v>
      </c>
      <c r="C39" s="40"/>
      <c r="D39" s="35"/>
      <c r="E39" s="39">
        <f>Productos[Entradas]-Productos[Salidas]</f>
        <v>2</v>
      </c>
      <c r="F39" s="39">
        <f>SUMIFS(Ventas[Cantidad],Ventas[Producto],Productos[Producto])</f>
        <v>1806</v>
      </c>
      <c r="G39" s="39">
        <f>SUMIFS(Envios[Cantidad],Envios[Producto],Productos[Producto])</f>
        <v>1804</v>
      </c>
      <c r="H39" s="75">
        <v>830.0</v>
      </c>
      <c r="I39" s="40" t="s">
        <v>106</v>
      </c>
      <c r="J39" s="76">
        <v>25.0</v>
      </c>
      <c r="K39" s="76">
        <v>21.0</v>
      </c>
      <c r="L39" s="76"/>
      <c r="M39" s="76"/>
    </row>
    <row r="40" ht="22.5" customHeight="1">
      <c r="B40" s="40" t="s">
        <v>140</v>
      </c>
      <c r="C40" s="40"/>
      <c r="D40" s="35"/>
      <c r="E40" s="39">
        <f>Productos[Entradas]-Productos[Salidas]</f>
        <v>0</v>
      </c>
      <c r="F40" s="39">
        <f>SUMIFS(Ventas[Cantidad],Ventas[Producto],Productos[Producto])</f>
        <v>198</v>
      </c>
      <c r="G40" s="39">
        <f>SUMIFS(Envios[Cantidad],Envios[Producto],Productos[Producto])</f>
        <v>198</v>
      </c>
      <c r="H40" s="75"/>
      <c r="I40" s="40"/>
      <c r="J40" s="76">
        <v>18.0</v>
      </c>
      <c r="K40" s="76">
        <v>20.0</v>
      </c>
      <c r="L40" s="76"/>
      <c r="M40" s="76"/>
    </row>
    <row r="41" ht="22.5" customHeight="1">
      <c r="B41" s="40" t="s">
        <v>143</v>
      </c>
      <c r="C41" s="40"/>
      <c r="D41" s="35"/>
      <c r="E41" s="39">
        <f>Productos[Entradas]-Productos[Salidas]</f>
        <v>0</v>
      </c>
      <c r="F41" s="39">
        <f>SUMIFS(Ventas[Cantidad],Ventas[Producto],Productos[Producto])</f>
        <v>299</v>
      </c>
      <c r="G41" s="39">
        <f>SUMIFS(Envios[Cantidad],Envios[Producto],Productos[Producto])</f>
        <v>299</v>
      </c>
      <c r="H41" s="75"/>
      <c r="I41" s="40"/>
      <c r="J41" s="76">
        <v>23.0</v>
      </c>
      <c r="K41" s="76">
        <v>22.5</v>
      </c>
      <c r="L41" s="76"/>
      <c r="M41" s="76"/>
    </row>
    <row r="42" ht="22.5" customHeight="1">
      <c r="B42" s="40" t="s">
        <v>146</v>
      </c>
      <c r="C42" s="40"/>
      <c r="D42" s="35"/>
      <c r="E42" s="39">
        <f>Productos[Entradas]-Productos[Salidas]</f>
        <v>225</v>
      </c>
      <c r="F42" s="39">
        <f>SUMIFS(Ventas[Cantidad],Ventas[Producto],Productos[Producto])</f>
        <v>225</v>
      </c>
      <c r="G42" s="39">
        <f>SUMIFS(Envios[Cantidad],Envios[Producto],Productos[Producto])</f>
        <v>0</v>
      </c>
      <c r="H42" s="75"/>
      <c r="I42" s="40"/>
      <c r="J42" s="76">
        <v>15.0</v>
      </c>
      <c r="K42" s="76">
        <v>22.5</v>
      </c>
      <c r="L42" s="76"/>
      <c r="M42" s="76"/>
    </row>
    <row r="43">
      <c r="H43" s="71"/>
    </row>
    <row r="44">
      <c r="H44" s="71"/>
      <c r="I44" s="3" t="s">
        <v>5</v>
      </c>
      <c r="J44" s="80" t="s">
        <v>227</v>
      </c>
      <c r="K44" s="80">
        <v>21.0</v>
      </c>
      <c r="L44" s="81"/>
      <c r="M44" s="81"/>
    </row>
    <row r="45">
      <c r="H45" s="71"/>
      <c r="I45" s="64" t="s">
        <v>6</v>
      </c>
      <c r="J45" s="80" t="s">
        <v>230</v>
      </c>
      <c r="K45" s="80">
        <v>23.0</v>
      </c>
      <c r="L45" s="81"/>
      <c r="M45" s="81"/>
    </row>
    <row r="46">
      <c r="H46" s="71"/>
      <c r="I46" s="64" t="s">
        <v>7</v>
      </c>
      <c r="J46" s="80" t="s">
        <v>233</v>
      </c>
      <c r="K46" s="80">
        <v>23.0</v>
      </c>
      <c r="L46" s="81"/>
      <c r="M46" s="81"/>
    </row>
    <row r="47">
      <c r="H47" s="71"/>
      <c r="I47" s="64" t="s">
        <v>14</v>
      </c>
      <c r="J47" s="80">
        <v>116.0</v>
      </c>
      <c r="K47" s="80">
        <v>21.0</v>
      </c>
      <c r="L47" s="80"/>
      <c r="M47" s="80"/>
    </row>
    <row r="48">
      <c r="H48" s="71"/>
      <c r="I48" s="64" t="s">
        <v>15</v>
      </c>
      <c r="J48" s="80" t="s">
        <v>236</v>
      </c>
      <c r="K48" s="80">
        <v>22.5</v>
      </c>
      <c r="L48" s="80"/>
      <c r="M48" s="80"/>
    </row>
    <row r="49">
      <c r="H49" s="71"/>
      <c r="I49" s="64" t="s">
        <v>16</v>
      </c>
      <c r="J49" s="80">
        <v>104.0</v>
      </c>
      <c r="K49" s="80">
        <v>19.0</v>
      </c>
      <c r="L49" s="81"/>
      <c r="M49" s="81"/>
    </row>
    <row r="50">
      <c r="H50" s="71"/>
      <c r="I50" s="64" t="s">
        <v>17</v>
      </c>
      <c r="J50" s="80" t="s">
        <v>239</v>
      </c>
      <c r="K50" s="80">
        <v>23.0</v>
      </c>
      <c r="L50" s="81"/>
      <c r="M50" s="81"/>
    </row>
    <row r="51">
      <c r="H51" s="71"/>
      <c r="I51" s="64" t="s">
        <v>18</v>
      </c>
      <c r="J51" s="80">
        <v>75.0</v>
      </c>
      <c r="K51" s="80">
        <v>20.0</v>
      </c>
      <c r="L51" s="80">
        <v>90.0</v>
      </c>
      <c r="M51" s="80">
        <v>23.0</v>
      </c>
    </row>
    <row r="52">
      <c r="H52" s="71"/>
      <c r="I52" s="64" t="s">
        <v>19</v>
      </c>
      <c r="J52" s="80">
        <v>84.0</v>
      </c>
      <c r="K52" s="80">
        <v>19.0</v>
      </c>
      <c r="L52" s="80">
        <v>100.0</v>
      </c>
      <c r="M52" s="80">
        <v>21.0</v>
      </c>
    </row>
    <row r="53">
      <c r="H53" s="71"/>
      <c r="I53" s="64" t="s">
        <v>20</v>
      </c>
      <c r="J53" s="80" t="s">
        <v>243</v>
      </c>
      <c r="K53" s="80">
        <v>23.0</v>
      </c>
      <c r="L53" s="80"/>
      <c r="M53" s="80"/>
    </row>
    <row r="54">
      <c r="H54" s="71"/>
      <c r="I54" s="64" t="s">
        <v>21</v>
      </c>
      <c r="J54" s="80">
        <v>130.0</v>
      </c>
      <c r="K54" s="80">
        <v>23.0</v>
      </c>
      <c r="L54" s="80"/>
      <c r="M54" s="80"/>
    </row>
    <row r="55">
      <c r="H55" s="71"/>
      <c r="I55" s="64" t="s">
        <v>22</v>
      </c>
      <c r="J55" s="80" t="s">
        <v>246</v>
      </c>
      <c r="K55" s="80">
        <v>23.0</v>
      </c>
      <c r="L55" s="80"/>
      <c r="M55" s="80"/>
    </row>
    <row r="56">
      <c r="H56" s="71"/>
      <c r="I56" s="64" t="s">
        <v>23</v>
      </c>
      <c r="J56" s="80" t="s">
        <v>248</v>
      </c>
      <c r="K56" s="80">
        <v>23.0</v>
      </c>
      <c r="L56" s="81"/>
      <c r="M56" s="81"/>
    </row>
    <row r="57">
      <c r="H57" s="71"/>
      <c r="I57" s="64" t="s">
        <v>71</v>
      </c>
      <c r="J57" s="80" t="s">
        <v>250</v>
      </c>
      <c r="K57" s="80">
        <v>23.0</v>
      </c>
      <c r="L57" s="81"/>
      <c r="M57" s="81"/>
    </row>
    <row r="58">
      <c r="H58" s="71"/>
      <c r="I58" s="64" t="s">
        <v>24</v>
      </c>
      <c r="J58" s="80">
        <v>66.0</v>
      </c>
      <c r="K58" s="80">
        <v>22.0</v>
      </c>
      <c r="L58" s="81"/>
      <c r="M58" s="81"/>
    </row>
    <row r="59">
      <c r="H59" s="71"/>
      <c r="I59" s="64" t="s">
        <v>25</v>
      </c>
      <c r="J59" s="80">
        <v>34.0</v>
      </c>
      <c r="K59" s="80">
        <v>23.0</v>
      </c>
      <c r="L59" s="81"/>
      <c r="M59" s="81"/>
    </row>
    <row r="60">
      <c r="H60" s="71"/>
      <c r="I60" s="64" t="s">
        <v>26</v>
      </c>
      <c r="J60" s="80">
        <v>115.0</v>
      </c>
      <c r="K60" s="80">
        <v>23.0</v>
      </c>
      <c r="L60" s="81"/>
      <c r="M60" s="81"/>
    </row>
    <row r="61">
      <c r="H61" s="71"/>
      <c r="I61" s="64" t="s">
        <v>27</v>
      </c>
      <c r="J61" s="80">
        <v>85.0</v>
      </c>
      <c r="K61" s="80">
        <v>23.0</v>
      </c>
      <c r="L61" s="81"/>
      <c r="M61" s="81"/>
    </row>
    <row r="62">
      <c r="H62" s="71"/>
      <c r="I62" s="64" t="s">
        <v>218</v>
      </c>
      <c r="J62" s="80" t="s">
        <v>254</v>
      </c>
      <c r="K62" s="80" t="s">
        <v>254</v>
      </c>
      <c r="L62" s="81"/>
      <c r="M62" s="81"/>
    </row>
    <row r="63">
      <c r="H63" s="71"/>
      <c r="I63" s="64" t="s">
        <v>118</v>
      </c>
      <c r="J63" s="80">
        <v>24.0</v>
      </c>
      <c r="K63" s="80">
        <v>23.0</v>
      </c>
      <c r="L63" s="80"/>
      <c r="M63" s="80"/>
    </row>
    <row r="64">
      <c r="H64" s="71"/>
      <c r="I64" s="64" t="s">
        <v>120</v>
      </c>
      <c r="J64" s="80">
        <v>38.0</v>
      </c>
      <c r="K64" s="80">
        <v>23.0</v>
      </c>
      <c r="L64" s="80"/>
      <c r="M64" s="80"/>
    </row>
    <row r="65">
      <c r="H65" s="71"/>
      <c r="I65" s="64" t="s">
        <v>123</v>
      </c>
      <c r="J65" s="80">
        <v>51.0</v>
      </c>
      <c r="K65" s="80">
        <v>23.0</v>
      </c>
      <c r="L65" s="80"/>
      <c r="M65" s="80"/>
    </row>
    <row r="66">
      <c r="H66" s="71"/>
      <c r="I66" s="64" t="s">
        <v>32</v>
      </c>
      <c r="J66" s="80">
        <v>300.0</v>
      </c>
      <c r="K66" s="80">
        <v>17.4</v>
      </c>
      <c r="L66" s="80">
        <v>380.0</v>
      </c>
      <c r="M66" s="80">
        <v>22.0</v>
      </c>
    </row>
    <row r="67">
      <c r="H67" s="71"/>
      <c r="I67" s="64" t="s">
        <v>33</v>
      </c>
      <c r="J67" s="80">
        <v>300.0</v>
      </c>
      <c r="K67" s="80">
        <v>17.4</v>
      </c>
      <c r="L67" s="80">
        <v>380.0</v>
      </c>
      <c r="M67" s="80">
        <v>22.0</v>
      </c>
    </row>
    <row r="68">
      <c r="H68" s="71"/>
      <c r="I68" s="64" t="s">
        <v>34</v>
      </c>
      <c r="J68" s="80">
        <v>300.0</v>
      </c>
      <c r="K68" s="80">
        <v>17.4</v>
      </c>
      <c r="L68" s="80">
        <v>380.0</v>
      </c>
      <c r="M68" s="80">
        <v>22.0</v>
      </c>
    </row>
    <row r="69">
      <c r="H69" s="71"/>
      <c r="I69" s="64" t="s">
        <v>35</v>
      </c>
      <c r="J69" s="80">
        <v>112.0</v>
      </c>
      <c r="K69" s="80">
        <v>15.0</v>
      </c>
      <c r="L69" s="80">
        <v>128.0</v>
      </c>
      <c r="M69" s="80">
        <v>18.0</v>
      </c>
    </row>
    <row r="70">
      <c r="H70" s="71"/>
      <c r="I70" s="64" t="s">
        <v>36</v>
      </c>
      <c r="J70" s="80">
        <v>112.0</v>
      </c>
      <c r="K70" s="80">
        <v>15.0</v>
      </c>
      <c r="L70" s="80">
        <v>128.0</v>
      </c>
      <c r="M70" s="80">
        <v>18.0</v>
      </c>
    </row>
    <row r="71">
      <c r="H71" s="71"/>
      <c r="I71" s="64" t="s">
        <v>37</v>
      </c>
      <c r="J71" s="80">
        <v>112.0</v>
      </c>
      <c r="K71" s="80">
        <v>15.0</v>
      </c>
      <c r="L71" s="80">
        <v>128.0</v>
      </c>
      <c r="M71" s="80">
        <v>18.0</v>
      </c>
    </row>
    <row r="72">
      <c r="H72" s="71"/>
      <c r="I72" s="64" t="s">
        <v>270</v>
      </c>
      <c r="J72" s="80">
        <v>100.0</v>
      </c>
      <c r="K72" s="80">
        <v>23.0</v>
      </c>
      <c r="L72" s="81"/>
      <c r="M72" s="81"/>
    </row>
    <row r="73">
      <c r="H73" s="71"/>
      <c r="I73" s="64" t="s">
        <v>126</v>
      </c>
      <c r="J73" s="80">
        <v>20.0</v>
      </c>
      <c r="K73" s="80">
        <v>22.5</v>
      </c>
      <c r="L73" s="81"/>
      <c r="M73" s="81"/>
    </row>
    <row r="74">
      <c r="H74" s="71"/>
      <c r="I74" s="64" t="s">
        <v>271</v>
      </c>
      <c r="J74" s="80">
        <v>115.0</v>
      </c>
      <c r="K74" s="80">
        <v>11.0</v>
      </c>
      <c r="L74" s="80">
        <v>190.0</v>
      </c>
      <c r="M74" s="80">
        <v>19.5</v>
      </c>
    </row>
    <row r="75">
      <c r="H75" s="71"/>
      <c r="I75" s="64" t="s">
        <v>12</v>
      </c>
      <c r="J75" s="80">
        <v>135.0</v>
      </c>
      <c r="K75" s="80">
        <v>23.0</v>
      </c>
      <c r="L75" s="80"/>
      <c r="M75" s="80"/>
    </row>
    <row r="76">
      <c r="H76" s="71"/>
      <c r="I76" s="64" t="s">
        <v>272</v>
      </c>
      <c r="J76" s="80">
        <v>30.0</v>
      </c>
      <c r="K76" s="80" t="s">
        <v>273</v>
      </c>
      <c r="L76" s="80"/>
      <c r="M76" s="80"/>
    </row>
    <row r="77">
      <c r="H77" s="71"/>
      <c r="I77" s="64" t="s">
        <v>114</v>
      </c>
      <c r="J77" s="81"/>
      <c r="K77" s="81"/>
      <c r="L77" s="81"/>
      <c r="M77" s="81"/>
    </row>
    <row r="78">
      <c r="H78" s="71"/>
      <c r="I78" s="64" t="s">
        <v>274</v>
      </c>
      <c r="J78" s="64">
        <v>45.0</v>
      </c>
      <c r="K78" s="64">
        <v>19.0</v>
      </c>
      <c r="L78" s="62"/>
      <c r="M78" s="62"/>
    </row>
    <row r="79">
      <c r="H79" s="71"/>
    </row>
    <row r="80">
      <c r="H80" s="71"/>
    </row>
    <row r="81">
      <c r="H81" s="71"/>
    </row>
    <row r="82">
      <c r="H82" s="71"/>
    </row>
    <row r="83">
      <c r="H83" s="71"/>
    </row>
    <row r="84">
      <c r="H84" s="71"/>
    </row>
    <row r="85">
      <c r="H85" s="71"/>
    </row>
    <row r="86">
      <c r="H86" s="71"/>
    </row>
    <row r="87">
      <c r="H87" s="71"/>
    </row>
    <row r="88">
      <c r="H88" s="71"/>
    </row>
    <row r="89">
      <c r="H89" s="71"/>
    </row>
    <row r="90">
      <c r="H90" s="71"/>
    </row>
    <row r="91">
      <c r="H91" s="71"/>
    </row>
    <row r="92">
      <c r="H92" s="71"/>
    </row>
    <row r="93">
      <c r="H93" s="71"/>
    </row>
    <row r="94">
      <c r="H94" s="71"/>
    </row>
    <row r="95">
      <c r="H95" s="71"/>
    </row>
    <row r="96">
      <c r="H96" s="71"/>
    </row>
    <row r="97">
      <c r="H97" s="71"/>
    </row>
    <row r="98">
      <c r="H98" s="71"/>
    </row>
    <row r="99">
      <c r="H99" s="71"/>
    </row>
    <row r="100">
      <c r="H100" s="71"/>
    </row>
    <row r="101">
      <c r="H101" s="71"/>
    </row>
    <row r="102">
      <c r="H102" s="71"/>
    </row>
    <row r="103">
      <c r="H103" s="71"/>
    </row>
    <row r="104">
      <c r="H104" s="71"/>
    </row>
    <row r="105">
      <c r="H105" s="71"/>
    </row>
    <row r="106">
      <c r="H106" s="71"/>
    </row>
    <row r="107">
      <c r="H107" s="71"/>
    </row>
    <row r="108">
      <c r="H108" s="71"/>
    </row>
    <row r="109">
      <c r="H109" s="71"/>
    </row>
    <row r="110">
      <c r="H110" s="71"/>
    </row>
    <row r="111">
      <c r="H111" s="71"/>
    </row>
    <row r="112">
      <c r="H112" s="71"/>
    </row>
    <row r="113">
      <c r="H113" s="71"/>
    </row>
    <row r="114">
      <c r="H114" s="71"/>
    </row>
    <row r="115">
      <c r="H115" s="71"/>
    </row>
    <row r="116">
      <c r="H116" s="71"/>
    </row>
    <row r="117">
      <c r="H117" s="71"/>
    </row>
    <row r="118">
      <c r="H118" s="71"/>
    </row>
    <row r="119">
      <c r="H119" s="71"/>
    </row>
    <row r="120">
      <c r="H120" s="71"/>
    </row>
    <row r="121">
      <c r="H121" s="71"/>
    </row>
    <row r="122">
      <c r="H122" s="71"/>
    </row>
    <row r="123">
      <c r="H123" s="71"/>
    </row>
    <row r="124">
      <c r="H124" s="71"/>
    </row>
    <row r="125">
      <c r="H125" s="71"/>
    </row>
    <row r="126">
      <c r="H126" s="71"/>
    </row>
    <row r="127">
      <c r="H127" s="71"/>
    </row>
    <row r="128">
      <c r="H128" s="71"/>
    </row>
    <row r="129">
      <c r="H129" s="71"/>
    </row>
    <row r="130">
      <c r="H130" s="71"/>
    </row>
    <row r="131">
      <c r="H131" s="71"/>
    </row>
    <row r="132">
      <c r="H132" s="71"/>
    </row>
    <row r="133">
      <c r="H133" s="71"/>
    </row>
    <row r="134">
      <c r="H134" s="71"/>
    </row>
    <row r="135">
      <c r="H135" s="71"/>
    </row>
    <row r="136">
      <c r="H136" s="71"/>
    </row>
    <row r="137">
      <c r="H137" s="71"/>
    </row>
    <row r="138">
      <c r="H138" s="71"/>
    </row>
    <row r="139">
      <c r="H139" s="71"/>
    </row>
    <row r="140">
      <c r="H140" s="71"/>
    </row>
    <row r="141">
      <c r="H141" s="71"/>
    </row>
    <row r="142">
      <c r="H142" s="71"/>
    </row>
    <row r="143">
      <c r="H143" s="71"/>
    </row>
    <row r="144">
      <c r="H144" s="71"/>
    </row>
    <row r="145">
      <c r="H145" s="71"/>
    </row>
    <row r="146">
      <c r="H146" s="71"/>
    </row>
    <row r="147">
      <c r="H147" s="71"/>
    </row>
    <row r="148">
      <c r="H148" s="71"/>
    </row>
    <row r="149">
      <c r="H149" s="71"/>
    </row>
    <row r="150">
      <c r="H150" s="71"/>
    </row>
    <row r="151">
      <c r="H151" s="71"/>
    </row>
    <row r="152">
      <c r="H152" s="71"/>
    </row>
    <row r="153">
      <c r="H153" s="71"/>
    </row>
    <row r="154">
      <c r="H154" s="71"/>
    </row>
    <row r="155">
      <c r="H155" s="71"/>
    </row>
    <row r="156">
      <c r="H156" s="71"/>
    </row>
    <row r="157">
      <c r="H157" s="71"/>
    </row>
    <row r="158">
      <c r="H158" s="71"/>
    </row>
    <row r="159">
      <c r="H159" s="71"/>
    </row>
    <row r="160">
      <c r="H160" s="71"/>
    </row>
    <row r="161">
      <c r="H161" s="71"/>
    </row>
    <row r="162">
      <c r="H162" s="71"/>
    </row>
    <row r="163">
      <c r="H163" s="71"/>
    </row>
    <row r="164">
      <c r="H164" s="71"/>
    </row>
    <row r="165">
      <c r="H165" s="71"/>
    </row>
    <row r="166">
      <c r="H166" s="71"/>
    </row>
    <row r="167">
      <c r="H167" s="71"/>
    </row>
    <row r="168">
      <c r="H168" s="71"/>
    </row>
    <row r="169">
      <c r="H169" s="71"/>
    </row>
    <row r="170">
      <c r="H170" s="71"/>
    </row>
    <row r="171">
      <c r="H171" s="71"/>
    </row>
    <row r="172">
      <c r="H172" s="71"/>
    </row>
    <row r="173">
      <c r="H173" s="71"/>
    </row>
    <row r="174">
      <c r="H174" s="71"/>
    </row>
    <row r="175">
      <c r="H175" s="71"/>
    </row>
    <row r="176">
      <c r="H176" s="71"/>
    </row>
    <row r="177">
      <c r="H177" s="71"/>
    </row>
    <row r="178">
      <c r="H178" s="71"/>
    </row>
    <row r="179">
      <c r="H179" s="71"/>
    </row>
    <row r="180">
      <c r="H180" s="71"/>
    </row>
    <row r="181">
      <c r="H181" s="71"/>
    </row>
    <row r="182">
      <c r="H182" s="71"/>
    </row>
    <row r="183">
      <c r="H183" s="71"/>
    </row>
    <row r="184">
      <c r="H184" s="71"/>
    </row>
    <row r="185">
      <c r="H185" s="71"/>
    </row>
    <row r="186">
      <c r="H186" s="71"/>
    </row>
    <row r="187">
      <c r="H187" s="71"/>
    </row>
    <row r="188">
      <c r="H188" s="71"/>
    </row>
    <row r="189">
      <c r="H189" s="71"/>
    </row>
    <row r="190">
      <c r="H190" s="71"/>
    </row>
    <row r="191">
      <c r="H191" s="71"/>
    </row>
    <row r="192">
      <c r="H192" s="71"/>
    </row>
    <row r="193">
      <c r="H193" s="71"/>
    </row>
    <row r="194">
      <c r="H194" s="71"/>
    </row>
    <row r="195">
      <c r="H195" s="71"/>
    </row>
    <row r="196">
      <c r="H196" s="71"/>
    </row>
    <row r="197">
      <c r="H197" s="71"/>
    </row>
    <row r="198">
      <c r="H198" s="71"/>
    </row>
    <row r="199">
      <c r="H199" s="71"/>
    </row>
    <row r="200">
      <c r="H200" s="71"/>
    </row>
    <row r="201">
      <c r="H201" s="71"/>
    </row>
    <row r="202">
      <c r="H202" s="71"/>
    </row>
    <row r="203">
      <c r="H203" s="71"/>
    </row>
    <row r="204">
      <c r="H204" s="71"/>
    </row>
    <row r="205">
      <c r="H205" s="71"/>
    </row>
    <row r="206">
      <c r="H206" s="71"/>
    </row>
    <row r="207">
      <c r="H207" s="71"/>
    </row>
    <row r="208">
      <c r="H208" s="71"/>
    </row>
    <row r="209">
      <c r="H209" s="71"/>
    </row>
    <row r="210">
      <c r="H210" s="71"/>
    </row>
    <row r="211">
      <c r="H211" s="71"/>
    </row>
    <row r="212">
      <c r="H212" s="71"/>
    </row>
    <row r="213">
      <c r="H213" s="71"/>
    </row>
    <row r="214">
      <c r="H214" s="71"/>
    </row>
    <row r="215">
      <c r="H215" s="71"/>
    </row>
    <row r="216">
      <c r="H216" s="71"/>
    </row>
    <row r="217">
      <c r="H217" s="71"/>
    </row>
    <row r="218">
      <c r="H218" s="71"/>
    </row>
    <row r="219">
      <c r="H219" s="71"/>
    </row>
    <row r="220">
      <c r="H220" s="71"/>
    </row>
    <row r="221">
      <c r="H221" s="71"/>
    </row>
    <row r="222">
      <c r="H222" s="71"/>
    </row>
    <row r="223">
      <c r="H223" s="71"/>
    </row>
    <row r="224">
      <c r="H224" s="71"/>
    </row>
    <row r="225">
      <c r="H225" s="71"/>
    </row>
    <row r="226">
      <c r="H226" s="71"/>
    </row>
    <row r="227">
      <c r="H227" s="71"/>
    </row>
    <row r="228">
      <c r="H228" s="71"/>
    </row>
    <row r="229">
      <c r="H229" s="71"/>
    </row>
    <row r="230">
      <c r="H230" s="71"/>
    </row>
    <row r="231">
      <c r="H231" s="71"/>
    </row>
    <row r="232">
      <c r="H232" s="71"/>
    </row>
    <row r="233">
      <c r="H233" s="71"/>
    </row>
    <row r="234">
      <c r="H234" s="71"/>
    </row>
    <row r="235">
      <c r="H235" s="71"/>
    </row>
    <row r="236">
      <c r="H236" s="71"/>
    </row>
    <row r="237">
      <c r="H237" s="71"/>
    </row>
    <row r="238">
      <c r="H238" s="71"/>
    </row>
    <row r="239">
      <c r="H239" s="71"/>
    </row>
    <row r="240">
      <c r="H240" s="71"/>
    </row>
    <row r="241">
      <c r="H241" s="71"/>
    </row>
    <row r="242">
      <c r="H242" s="71"/>
    </row>
    <row r="243">
      <c r="H243" s="71"/>
    </row>
    <row r="244">
      <c r="H244" s="71"/>
    </row>
    <row r="245">
      <c r="H245" s="71"/>
    </row>
    <row r="246">
      <c r="H246" s="71"/>
    </row>
    <row r="247">
      <c r="H247" s="71"/>
    </row>
    <row r="248">
      <c r="H248" s="71"/>
    </row>
    <row r="249">
      <c r="H249" s="71"/>
    </row>
    <row r="250">
      <c r="H250" s="71"/>
    </row>
    <row r="251">
      <c r="H251" s="71"/>
    </row>
    <row r="252">
      <c r="H252" s="71"/>
    </row>
    <row r="253">
      <c r="H253" s="71"/>
    </row>
    <row r="254">
      <c r="H254" s="71"/>
    </row>
    <row r="255">
      <c r="H255" s="71"/>
    </row>
    <row r="256">
      <c r="H256" s="71"/>
    </row>
    <row r="257">
      <c r="H257" s="71"/>
    </row>
    <row r="258">
      <c r="H258" s="71"/>
    </row>
    <row r="259">
      <c r="H259" s="71"/>
    </row>
    <row r="260">
      <c r="H260" s="71"/>
    </row>
    <row r="261">
      <c r="H261" s="71"/>
    </row>
    <row r="262">
      <c r="H262" s="71"/>
    </row>
    <row r="263">
      <c r="H263" s="71"/>
    </row>
    <row r="264">
      <c r="H264" s="71"/>
    </row>
    <row r="265">
      <c r="H265" s="71"/>
    </row>
    <row r="266">
      <c r="H266" s="71"/>
    </row>
    <row r="267">
      <c r="H267" s="71"/>
    </row>
    <row r="268">
      <c r="H268" s="71"/>
    </row>
    <row r="269">
      <c r="H269" s="71"/>
    </row>
    <row r="270">
      <c r="H270" s="71"/>
    </row>
    <row r="271">
      <c r="H271" s="71"/>
    </row>
    <row r="272">
      <c r="H272" s="71"/>
    </row>
    <row r="273">
      <c r="H273" s="71"/>
    </row>
    <row r="274">
      <c r="H274" s="71"/>
    </row>
    <row r="275">
      <c r="H275" s="71"/>
    </row>
    <row r="276">
      <c r="H276" s="71"/>
    </row>
    <row r="277">
      <c r="H277" s="71"/>
    </row>
    <row r="278">
      <c r="H278" s="71"/>
    </row>
    <row r="279">
      <c r="H279" s="71"/>
    </row>
    <row r="280">
      <c r="H280" s="71"/>
    </row>
    <row r="281">
      <c r="H281" s="71"/>
    </row>
    <row r="282">
      <c r="H282" s="71"/>
    </row>
    <row r="283">
      <c r="H283" s="71"/>
    </row>
    <row r="284">
      <c r="H284" s="71"/>
    </row>
    <row r="285">
      <c r="H285" s="71"/>
    </row>
    <row r="286">
      <c r="H286" s="71"/>
    </row>
    <row r="287">
      <c r="H287" s="71"/>
    </row>
    <row r="288">
      <c r="H288" s="71"/>
    </row>
    <row r="289">
      <c r="H289" s="71"/>
    </row>
    <row r="290">
      <c r="H290" s="71"/>
    </row>
    <row r="291">
      <c r="H291" s="71"/>
    </row>
    <row r="292">
      <c r="H292" s="71"/>
    </row>
    <row r="293">
      <c r="H293" s="71"/>
    </row>
    <row r="294">
      <c r="H294" s="71"/>
    </row>
    <row r="295">
      <c r="H295" s="71"/>
    </row>
    <row r="296">
      <c r="H296" s="71"/>
    </row>
    <row r="297">
      <c r="H297" s="71"/>
    </row>
    <row r="298">
      <c r="H298" s="71"/>
    </row>
    <row r="299">
      <c r="H299" s="71"/>
    </row>
    <row r="300">
      <c r="H300" s="71"/>
    </row>
    <row r="301">
      <c r="H301" s="71"/>
    </row>
    <row r="302">
      <c r="H302" s="71"/>
    </row>
    <row r="303">
      <c r="H303" s="71"/>
    </row>
    <row r="304">
      <c r="H304" s="71"/>
    </row>
    <row r="305">
      <c r="H305" s="71"/>
    </row>
    <row r="306">
      <c r="H306" s="71"/>
    </row>
    <row r="307">
      <c r="H307" s="71"/>
    </row>
    <row r="308">
      <c r="H308" s="71"/>
    </row>
    <row r="309">
      <c r="H309" s="71"/>
    </row>
    <row r="310">
      <c r="H310" s="71"/>
    </row>
    <row r="311">
      <c r="H311" s="71"/>
    </row>
    <row r="312">
      <c r="H312" s="71"/>
    </row>
    <row r="313">
      <c r="H313" s="71"/>
    </row>
    <row r="314">
      <c r="H314" s="71"/>
    </row>
    <row r="315">
      <c r="H315" s="71"/>
    </row>
    <row r="316">
      <c r="H316" s="71"/>
    </row>
    <row r="317">
      <c r="H317" s="71"/>
    </row>
    <row r="318">
      <c r="H318" s="71"/>
    </row>
    <row r="319">
      <c r="H319" s="71"/>
    </row>
    <row r="320">
      <c r="H320" s="71"/>
    </row>
    <row r="321">
      <c r="H321" s="71"/>
    </row>
    <row r="322">
      <c r="H322" s="71"/>
    </row>
    <row r="323">
      <c r="H323" s="71"/>
    </row>
    <row r="324">
      <c r="H324" s="71"/>
    </row>
    <row r="325">
      <c r="H325" s="71"/>
    </row>
    <row r="326">
      <c r="H326" s="71"/>
    </row>
    <row r="327">
      <c r="H327" s="71"/>
    </row>
    <row r="328">
      <c r="H328" s="71"/>
    </row>
    <row r="329">
      <c r="H329" s="71"/>
    </row>
    <row r="330">
      <c r="H330" s="71"/>
    </row>
    <row r="331">
      <c r="H331" s="71"/>
    </row>
    <row r="332">
      <c r="H332" s="71"/>
    </row>
    <row r="333">
      <c r="H333" s="71"/>
    </row>
    <row r="334">
      <c r="H334" s="71"/>
    </row>
    <row r="335">
      <c r="H335" s="71"/>
    </row>
    <row r="336">
      <c r="H336" s="71"/>
    </row>
    <row r="337">
      <c r="H337" s="71"/>
    </row>
    <row r="338">
      <c r="H338" s="71"/>
    </row>
    <row r="339">
      <c r="H339" s="71"/>
    </row>
    <row r="340">
      <c r="H340" s="71"/>
    </row>
    <row r="341">
      <c r="H341" s="71"/>
    </row>
    <row r="342">
      <c r="H342" s="71"/>
    </row>
    <row r="343">
      <c r="H343" s="71"/>
    </row>
    <row r="344">
      <c r="H344" s="71"/>
    </row>
    <row r="345">
      <c r="H345" s="71"/>
    </row>
    <row r="346">
      <c r="H346" s="71"/>
    </row>
    <row r="347">
      <c r="H347" s="71"/>
    </row>
    <row r="348">
      <c r="H348" s="71"/>
    </row>
    <row r="349">
      <c r="H349" s="71"/>
    </row>
    <row r="350">
      <c r="H350" s="71"/>
    </row>
    <row r="351">
      <c r="H351" s="71"/>
    </row>
    <row r="352">
      <c r="H352" s="71"/>
    </row>
    <row r="353">
      <c r="H353" s="71"/>
    </row>
    <row r="354">
      <c r="H354" s="71"/>
    </row>
    <row r="355">
      <c r="H355" s="71"/>
    </row>
    <row r="356">
      <c r="H356" s="71"/>
    </row>
    <row r="357">
      <c r="H357" s="71"/>
    </row>
    <row r="358">
      <c r="H358" s="71"/>
    </row>
    <row r="359">
      <c r="H359" s="71"/>
    </row>
    <row r="360">
      <c r="H360" s="71"/>
    </row>
    <row r="361">
      <c r="H361" s="71"/>
    </row>
    <row r="362">
      <c r="H362" s="71"/>
    </row>
    <row r="363">
      <c r="H363" s="71"/>
    </row>
    <row r="364">
      <c r="H364" s="71"/>
    </row>
    <row r="365">
      <c r="H365" s="71"/>
    </row>
    <row r="366">
      <c r="H366" s="71"/>
    </row>
    <row r="367">
      <c r="H367" s="71"/>
    </row>
    <row r="368">
      <c r="H368" s="71"/>
    </row>
    <row r="369">
      <c r="H369" s="71"/>
    </row>
    <row r="370">
      <c r="H370" s="71"/>
    </row>
    <row r="371">
      <c r="H371" s="71"/>
    </row>
    <row r="372">
      <c r="H372" s="71"/>
    </row>
    <row r="373">
      <c r="H373" s="71"/>
    </row>
    <row r="374">
      <c r="H374" s="71"/>
    </row>
    <row r="375">
      <c r="H375" s="71"/>
    </row>
    <row r="376">
      <c r="H376" s="71"/>
    </row>
    <row r="377">
      <c r="H377" s="71"/>
    </row>
    <row r="378">
      <c r="H378" s="71"/>
    </row>
    <row r="379">
      <c r="H379" s="71"/>
    </row>
    <row r="380">
      <c r="H380" s="71"/>
    </row>
    <row r="381">
      <c r="H381" s="71"/>
    </row>
    <row r="382">
      <c r="H382" s="71"/>
    </row>
    <row r="383">
      <c r="H383" s="71"/>
    </row>
    <row r="384">
      <c r="H384" s="71"/>
    </row>
    <row r="385">
      <c r="H385" s="71"/>
    </row>
    <row r="386">
      <c r="H386" s="71"/>
    </row>
    <row r="387">
      <c r="H387" s="71"/>
    </row>
    <row r="388">
      <c r="H388" s="71"/>
    </row>
    <row r="389">
      <c r="H389" s="71"/>
    </row>
    <row r="390">
      <c r="H390" s="71"/>
    </row>
    <row r="391">
      <c r="H391" s="71"/>
    </row>
    <row r="392">
      <c r="H392" s="71"/>
    </row>
    <row r="393">
      <c r="H393" s="71"/>
    </row>
    <row r="394">
      <c r="H394" s="71"/>
    </row>
    <row r="395">
      <c r="H395" s="71"/>
    </row>
    <row r="396">
      <c r="H396" s="71"/>
    </row>
    <row r="397">
      <c r="H397" s="71"/>
    </row>
    <row r="398">
      <c r="H398" s="71"/>
    </row>
    <row r="399">
      <c r="H399" s="71"/>
    </row>
    <row r="400">
      <c r="H400" s="71"/>
    </row>
    <row r="401">
      <c r="H401" s="71"/>
    </row>
    <row r="402">
      <c r="H402" s="71"/>
    </row>
    <row r="403">
      <c r="H403" s="71"/>
    </row>
    <row r="404">
      <c r="H404" s="71"/>
    </row>
    <row r="405">
      <c r="H405" s="71"/>
    </row>
    <row r="406">
      <c r="H406" s="71"/>
    </row>
    <row r="407">
      <c r="H407" s="71"/>
    </row>
    <row r="408">
      <c r="H408" s="71"/>
    </row>
    <row r="409">
      <c r="H409" s="71"/>
    </row>
    <row r="410">
      <c r="H410" s="71"/>
    </row>
    <row r="411">
      <c r="H411" s="71"/>
    </row>
    <row r="412">
      <c r="H412" s="71"/>
    </row>
    <row r="413">
      <c r="H413" s="71"/>
    </row>
    <row r="414">
      <c r="H414" s="71"/>
    </row>
    <row r="415">
      <c r="H415" s="71"/>
    </row>
    <row r="416">
      <c r="H416" s="71"/>
    </row>
    <row r="417">
      <c r="H417" s="71"/>
    </row>
    <row r="418">
      <c r="H418" s="71"/>
    </row>
    <row r="419">
      <c r="H419" s="71"/>
    </row>
    <row r="420">
      <c r="H420" s="71"/>
    </row>
    <row r="421">
      <c r="H421" s="71"/>
    </row>
    <row r="422">
      <c r="H422" s="71"/>
    </row>
    <row r="423">
      <c r="H423" s="71"/>
    </row>
    <row r="424">
      <c r="H424" s="71"/>
    </row>
    <row r="425">
      <c r="H425" s="71"/>
    </row>
    <row r="426">
      <c r="H426" s="71"/>
    </row>
    <row r="427">
      <c r="H427" s="71"/>
    </row>
    <row r="428">
      <c r="H428" s="71"/>
    </row>
    <row r="429">
      <c r="H429" s="71"/>
    </row>
    <row r="430">
      <c r="H430" s="71"/>
    </row>
    <row r="431">
      <c r="H431" s="71"/>
    </row>
    <row r="432">
      <c r="H432" s="71"/>
    </row>
    <row r="433">
      <c r="H433" s="71"/>
    </row>
    <row r="434">
      <c r="H434" s="71"/>
    </row>
    <row r="435">
      <c r="H435" s="71"/>
    </row>
    <row r="436">
      <c r="H436" s="71"/>
    </row>
    <row r="437">
      <c r="H437" s="71"/>
    </row>
    <row r="438">
      <c r="H438" s="71"/>
    </row>
    <row r="439">
      <c r="H439" s="71"/>
    </row>
    <row r="440">
      <c r="H440" s="71"/>
    </row>
    <row r="441">
      <c r="H441" s="71"/>
    </row>
    <row r="442">
      <c r="H442" s="71"/>
    </row>
    <row r="443">
      <c r="H443" s="71"/>
    </row>
    <row r="444">
      <c r="H444" s="71"/>
    </row>
    <row r="445">
      <c r="H445" s="71"/>
    </row>
    <row r="446">
      <c r="H446" s="71"/>
    </row>
    <row r="447">
      <c r="H447" s="71"/>
    </row>
    <row r="448">
      <c r="H448" s="71"/>
    </row>
    <row r="449">
      <c r="H449" s="71"/>
    </row>
    <row r="450">
      <c r="H450" s="71"/>
    </row>
    <row r="451">
      <c r="H451" s="71"/>
    </row>
    <row r="452">
      <c r="H452" s="71"/>
    </row>
    <row r="453">
      <c r="H453" s="71"/>
    </row>
    <row r="454">
      <c r="H454" s="71"/>
    </row>
    <row r="455">
      <c r="H455" s="71"/>
    </row>
    <row r="456">
      <c r="H456" s="71"/>
    </row>
    <row r="457">
      <c r="H457" s="71"/>
    </row>
    <row r="458">
      <c r="H458" s="71"/>
    </row>
    <row r="459">
      <c r="H459" s="71"/>
    </row>
    <row r="460">
      <c r="H460" s="71"/>
    </row>
    <row r="461">
      <c r="H461" s="71"/>
    </row>
    <row r="462">
      <c r="H462" s="71"/>
    </row>
    <row r="463">
      <c r="H463" s="71"/>
    </row>
    <row r="464">
      <c r="H464" s="71"/>
    </row>
    <row r="465">
      <c r="H465" s="71"/>
    </row>
    <row r="466">
      <c r="H466" s="71"/>
    </row>
    <row r="467">
      <c r="H467" s="71"/>
    </row>
    <row r="468">
      <c r="H468" s="71"/>
    </row>
    <row r="469">
      <c r="H469" s="71"/>
    </row>
    <row r="470">
      <c r="H470" s="71"/>
    </row>
    <row r="471">
      <c r="H471" s="71"/>
    </row>
    <row r="472">
      <c r="H472" s="71"/>
    </row>
    <row r="473">
      <c r="H473" s="71"/>
    </row>
    <row r="474">
      <c r="H474" s="71"/>
    </row>
    <row r="475">
      <c r="H475" s="71"/>
    </row>
    <row r="476">
      <c r="H476" s="71"/>
    </row>
    <row r="477">
      <c r="H477" s="71"/>
    </row>
    <row r="478">
      <c r="H478" s="71"/>
    </row>
    <row r="479">
      <c r="H479" s="71"/>
    </row>
    <row r="480">
      <c r="H480" s="71"/>
    </row>
    <row r="481">
      <c r="H481" s="71"/>
    </row>
    <row r="482">
      <c r="H482" s="71"/>
    </row>
    <row r="483">
      <c r="H483" s="71"/>
    </row>
    <row r="484">
      <c r="H484" s="71"/>
    </row>
    <row r="485">
      <c r="H485" s="71"/>
    </row>
    <row r="486">
      <c r="H486" s="71"/>
    </row>
    <row r="487">
      <c r="H487" s="71"/>
    </row>
    <row r="488">
      <c r="H488" s="71"/>
    </row>
    <row r="489">
      <c r="H489" s="71"/>
    </row>
    <row r="490">
      <c r="H490" s="71"/>
    </row>
    <row r="491">
      <c r="H491" s="71"/>
    </row>
    <row r="492">
      <c r="H492" s="71"/>
    </row>
    <row r="493">
      <c r="H493" s="71"/>
    </row>
    <row r="494">
      <c r="H494" s="71"/>
    </row>
    <row r="495">
      <c r="H495" s="71"/>
    </row>
    <row r="496">
      <c r="H496" s="71"/>
    </row>
    <row r="497">
      <c r="H497" s="71"/>
    </row>
    <row r="498">
      <c r="H498" s="71"/>
    </row>
    <row r="499">
      <c r="H499" s="71"/>
    </row>
    <row r="500">
      <c r="H500" s="71"/>
    </row>
    <row r="501">
      <c r="H501" s="71"/>
    </row>
    <row r="502">
      <c r="H502" s="71"/>
    </row>
    <row r="503">
      <c r="H503" s="71"/>
    </row>
    <row r="504">
      <c r="H504" s="71"/>
    </row>
    <row r="505">
      <c r="H505" s="71"/>
    </row>
    <row r="506">
      <c r="H506" s="71"/>
    </row>
    <row r="507">
      <c r="H507" s="71"/>
    </row>
    <row r="508">
      <c r="H508" s="71"/>
    </row>
    <row r="509">
      <c r="H509" s="71"/>
    </row>
    <row r="510">
      <c r="H510" s="71"/>
    </row>
    <row r="511">
      <c r="H511" s="71"/>
    </row>
    <row r="512">
      <c r="H512" s="71"/>
    </row>
    <row r="513">
      <c r="H513" s="71"/>
    </row>
    <row r="514">
      <c r="H514" s="71"/>
    </row>
    <row r="515">
      <c r="H515" s="71"/>
    </row>
    <row r="516">
      <c r="H516" s="71"/>
    </row>
    <row r="517">
      <c r="H517" s="71"/>
    </row>
    <row r="518">
      <c r="H518" s="71"/>
    </row>
    <row r="519">
      <c r="H519" s="71"/>
    </row>
    <row r="520">
      <c r="H520" s="71"/>
    </row>
    <row r="521">
      <c r="H521" s="71"/>
    </row>
    <row r="522">
      <c r="H522" s="71"/>
    </row>
    <row r="523">
      <c r="H523" s="71"/>
    </row>
    <row r="524">
      <c r="H524" s="71"/>
    </row>
    <row r="525">
      <c r="H525" s="71"/>
    </row>
    <row r="526">
      <c r="H526" s="71"/>
    </row>
    <row r="527">
      <c r="H527" s="71"/>
    </row>
    <row r="528">
      <c r="H528" s="71"/>
    </row>
    <row r="529">
      <c r="H529" s="71"/>
    </row>
    <row r="530">
      <c r="H530" s="71"/>
    </row>
    <row r="531">
      <c r="H531" s="71"/>
    </row>
    <row r="532">
      <c r="H532" s="71"/>
    </row>
    <row r="533">
      <c r="H533" s="71"/>
    </row>
    <row r="534">
      <c r="H534" s="71"/>
    </row>
    <row r="535">
      <c r="H535" s="71"/>
    </row>
    <row r="536">
      <c r="H536" s="71"/>
    </row>
    <row r="537">
      <c r="H537" s="71"/>
    </row>
    <row r="538">
      <c r="H538" s="71"/>
    </row>
    <row r="539">
      <c r="H539" s="71"/>
    </row>
    <row r="540">
      <c r="H540" s="71"/>
    </row>
    <row r="541">
      <c r="H541" s="71"/>
    </row>
    <row r="542">
      <c r="H542" s="71"/>
    </row>
    <row r="543">
      <c r="H543" s="71"/>
    </row>
    <row r="544">
      <c r="H544" s="71"/>
    </row>
    <row r="545">
      <c r="H545" s="71"/>
    </row>
    <row r="546">
      <c r="H546" s="71"/>
    </row>
    <row r="547">
      <c r="H547" s="71"/>
    </row>
    <row r="548">
      <c r="H548" s="71"/>
    </row>
    <row r="549">
      <c r="H549" s="71"/>
    </row>
    <row r="550">
      <c r="H550" s="71"/>
    </row>
    <row r="551">
      <c r="H551" s="71"/>
    </row>
    <row r="552">
      <c r="H552" s="71"/>
    </row>
    <row r="553">
      <c r="H553" s="71"/>
    </row>
    <row r="554">
      <c r="H554" s="71"/>
    </row>
    <row r="555">
      <c r="H555" s="71"/>
    </row>
    <row r="556">
      <c r="H556" s="71"/>
    </row>
    <row r="557">
      <c r="H557" s="71"/>
    </row>
    <row r="558">
      <c r="H558" s="71"/>
    </row>
    <row r="559">
      <c r="H559" s="71"/>
    </row>
    <row r="560">
      <c r="H560" s="71"/>
    </row>
    <row r="561">
      <c r="H561" s="71"/>
    </row>
    <row r="562">
      <c r="H562" s="71"/>
    </row>
    <row r="563">
      <c r="H563" s="71"/>
    </row>
    <row r="564">
      <c r="H564" s="71"/>
    </row>
    <row r="565">
      <c r="H565" s="71"/>
    </row>
    <row r="566">
      <c r="H566" s="71"/>
    </row>
    <row r="567">
      <c r="H567" s="71"/>
    </row>
    <row r="568">
      <c r="H568" s="71"/>
    </row>
    <row r="569">
      <c r="H569" s="71"/>
    </row>
    <row r="570">
      <c r="H570" s="71"/>
    </row>
    <row r="571">
      <c r="H571" s="71"/>
    </row>
    <row r="572">
      <c r="H572" s="71"/>
    </row>
    <row r="573">
      <c r="H573" s="71"/>
    </row>
    <row r="574">
      <c r="H574" s="71"/>
    </row>
    <row r="575">
      <c r="H575" s="71"/>
    </row>
    <row r="576">
      <c r="H576" s="71"/>
    </row>
    <row r="577">
      <c r="H577" s="71"/>
    </row>
    <row r="578">
      <c r="H578" s="71"/>
    </row>
    <row r="579">
      <c r="H579" s="71"/>
    </row>
    <row r="580">
      <c r="H580" s="71"/>
    </row>
    <row r="581">
      <c r="H581" s="71"/>
    </row>
    <row r="582">
      <c r="H582" s="71"/>
    </row>
    <row r="583">
      <c r="H583" s="71"/>
    </row>
    <row r="584">
      <c r="H584" s="71"/>
    </row>
    <row r="585">
      <c r="H585" s="71"/>
    </row>
    <row r="586">
      <c r="H586" s="71"/>
    </row>
    <row r="587">
      <c r="H587" s="71"/>
    </row>
    <row r="588">
      <c r="H588" s="71"/>
    </row>
    <row r="589">
      <c r="H589" s="71"/>
    </row>
    <row r="590">
      <c r="H590" s="71"/>
    </row>
    <row r="591">
      <c r="H591" s="71"/>
    </row>
    <row r="592">
      <c r="H592" s="71"/>
    </row>
    <row r="593">
      <c r="H593" s="71"/>
    </row>
    <row r="594">
      <c r="H594" s="71"/>
    </row>
    <row r="595">
      <c r="H595" s="71"/>
    </row>
    <row r="596">
      <c r="H596" s="71"/>
    </row>
    <row r="597">
      <c r="H597" s="71"/>
    </row>
    <row r="598">
      <c r="H598" s="71"/>
    </row>
    <row r="599">
      <c r="H599" s="71"/>
    </row>
    <row r="600">
      <c r="H600" s="71"/>
    </row>
    <row r="601">
      <c r="H601" s="71"/>
    </row>
    <row r="602">
      <c r="H602" s="71"/>
    </row>
    <row r="603">
      <c r="H603" s="71"/>
    </row>
    <row r="604">
      <c r="H604" s="71"/>
    </row>
    <row r="605">
      <c r="H605" s="71"/>
    </row>
    <row r="606">
      <c r="H606" s="71"/>
    </row>
    <row r="607">
      <c r="H607" s="71"/>
    </row>
    <row r="608">
      <c r="H608" s="71"/>
    </row>
    <row r="609">
      <c r="H609" s="71"/>
    </row>
    <row r="610">
      <c r="H610" s="71"/>
    </row>
    <row r="611">
      <c r="H611" s="71"/>
    </row>
    <row r="612">
      <c r="H612" s="71"/>
    </row>
    <row r="613">
      <c r="H613" s="71"/>
    </row>
    <row r="614">
      <c r="H614" s="71"/>
    </row>
    <row r="615">
      <c r="H615" s="71"/>
    </row>
    <row r="616">
      <c r="H616" s="71"/>
    </row>
    <row r="617">
      <c r="H617" s="71"/>
    </row>
    <row r="618">
      <c r="H618" s="71"/>
    </row>
    <row r="619">
      <c r="H619" s="71"/>
    </row>
    <row r="620">
      <c r="H620" s="71"/>
    </row>
    <row r="621">
      <c r="H621" s="71"/>
    </row>
    <row r="622">
      <c r="H622" s="71"/>
    </row>
    <row r="623">
      <c r="H623" s="71"/>
    </row>
    <row r="624">
      <c r="H624" s="71"/>
    </row>
    <row r="625">
      <c r="H625" s="71"/>
    </row>
    <row r="626">
      <c r="H626" s="71"/>
    </row>
    <row r="627">
      <c r="H627" s="71"/>
    </row>
    <row r="628">
      <c r="H628" s="71"/>
    </row>
    <row r="629">
      <c r="H629" s="71"/>
    </row>
    <row r="630">
      <c r="H630" s="71"/>
    </row>
    <row r="631">
      <c r="H631" s="71"/>
    </row>
    <row r="632">
      <c r="H632" s="71"/>
    </row>
    <row r="633">
      <c r="H633" s="71"/>
    </row>
    <row r="634">
      <c r="H634" s="71"/>
    </row>
    <row r="635">
      <c r="H635" s="71"/>
    </row>
    <row r="636">
      <c r="H636" s="71"/>
    </row>
    <row r="637">
      <c r="H637" s="71"/>
    </row>
    <row r="638">
      <c r="H638" s="71"/>
    </row>
    <row r="639">
      <c r="H639" s="71"/>
    </row>
    <row r="640">
      <c r="H640" s="71"/>
    </row>
    <row r="641">
      <c r="H641" s="71"/>
    </row>
    <row r="642">
      <c r="H642" s="71"/>
    </row>
    <row r="643">
      <c r="H643" s="71"/>
    </row>
    <row r="644">
      <c r="H644" s="71"/>
    </row>
    <row r="645">
      <c r="H645" s="71"/>
    </row>
    <row r="646">
      <c r="H646" s="71"/>
    </row>
    <row r="647">
      <c r="H647" s="71"/>
    </row>
    <row r="648">
      <c r="H648" s="71"/>
    </row>
    <row r="649">
      <c r="H649" s="71"/>
    </row>
    <row r="650">
      <c r="H650" s="71"/>
    </row>
    <row r="651">
      <c r="H651" s="71"/>
    </row>
    <row r="652">
      <c r="H652" s="71"/>
    </row>
    <row r="653">
      <c r="H653" s="71"/>
    </row>
    <row r="654">
      <c r="H654" s="71"/>
    </row>
    <row r="655">
      <c r="H655" s="71"/>
    </row>
    <row r="656">
      <c r="H656" s="71"/>
    </row>
    <row r="657">
      <c r="H657" s="71"/>
    </row>
    <row r="658">
      <c r="H658" s="71"/>
    </row>
    <row r="659">
      <c r="H659" s="71"/>
    </row>
    <row r="660">
      <c r="H660" s="71"/>
    </row>
    <row r="661">
      <c r="H661" s="71"/>
    </row>
    <row r="662">
      <c r="H662" s="71"/>
    </row>
    <row r="663">
      <c r="H663" s="71"/>
    </row>
    <row r="664">
      <c r="H664" s="71"/>
    </row>
    <row r="665">
      <c r="H665" s="71"/>
    </row>
    <row r="666">
      <c r="H666" s="71"/>
    </row>
    <row r="667">
      <c r="H667" s="71"/>
    </row>
    <row r="668">
      <c r="H668" s="71"/>
    </row>
    <row r="669">
      <c r="H669" s="71"/>
    </row>
    <row r="670">
      <c r="H670" s="71"/>
    </row>
    <row r="671">
      <c r="H671" s="71"/>
    </row>
    <row r="672">
      <c r="H672" s="71"/>
    </row>
    <row r="673">
      <c r="H673" s="71"/>
    </row>
    <row r="674">
      <c r="H674" s="71"/>
    </row>
    <row r="675">
      <c r="H675" s="71"/>
    </row>
    <row r="676">
      <c r="H676" s="71"/>
    </row>
    <row r="677">
      <c r="H677" s="71"/>
    </row>
    <row r="678">
      <c r="H678" s="71"/>
    </row>
    <row r="679">
      <c r="H679" s="71"/>
    </row>
    <row r="680">
      <c r="H680" s="71"/>
    </row>
    <row r="681">
      <c r="H681" s="71"/>
    </row>
    <row r="682">
      <c r="H682" s="71"/>
    </row>
    <row r="683">
      <c r="H683" s="71"/>
    </row>
    <row r="684">
      <c r="H684" s="71"/>
    </row>
    <row r="685">
      <c r="H685" s="71"/>
    </row>
    <row r="686">
      <c r="H686" s="71"/>
    </row>
    <row r="687">
      <c r="H687" s="71"/>
    </row>
    <row r="688">
      <c r="H688" s="71"/>
    </row>
    <row r="689">
      <c r="H689" s="71"/>
    </row>
    <row r="690">
      <c r="H690" s="71"/>
    </row>
    <row r="691">
      <c r="H691" s="71"/>
    </row>
    <row r="692">
      <c r="H692" s="71"/>
    </row>
    <row r="693">
      <c r="H693" s="71"/>
    </row>
    <row r="694">
      <c r="H694" s="71"/>
    </row>
    <row r="695">
      <c r="H695" s="71"/>
    </row>
    <row r="696">
      <c r="H696" s="71"/>
    </row>
    <row r="697">
      <c r="H697" s="71"/>
    </row>
    <row r="698">
      <c r="H698" s="71"/>
    </row>
    <row r="699">
      <c r="H699" s="71"/>
    </row>
    <row r="700">
      <c r="H700" s="71"/>
    </row>
    <row r="701">
      <c r="H701" s="71"/>
    </row>
    <row r="702">
      <c r="H702" s="71"/>
    </row>
    <row r="703">
      <c r="H703" s="71"/>
    </row>
    <row r="704">
      <c r="H704" s="71"/>
    </row>
    <row r="705">
      <c r="H705" s="71"/>
    </row>
    <row r="706">
      <c r="H706" s="71"/>
    </row>
    <row r="707">
      <c r="H707" s="71"/>
    </row>
    <row r="708">
      <c r="H708" s="71"/>
    </row>
    <row r="709">
      <c r="H709" s="71"/>
    </row>
    <row r="710">
      <c r="H710" s="71"/>
    </row>
    <row r="711">
      <c r="H711" s="71"/>
    </row>
    <row r="712">
      <c r="H712" s="71"/>
    </row>
    <row r="713">
      <c r="H713" s="71"/>
    </row>
    <row r="714">
      <c r="H714" s="71"/>
    </row>
    <row r="715">
      <c r="H715" s="71"/>
    </row>
    <row r="716">
      <c r="H716" s="71"/>
    </row>
    <row r="717">
      <c r="H717" s="71"/>
    </row>
    <row r="718">
      <c r="H718" s="71"/>
    </row>
    <row r="719">
      <c r="H719" s="71"/>
    </row>
    <row r="720">
      <c r="H720" s="71"/>
    </row>
    <row r="721">
      <c r="H721" s="71"/>
    </row>
    <row r="722">
      <c r="H722" s="71"/>
    </row>
    <row r="723">
      <c r="H723" s="71"/>
    </row>
    <row r="724">
      <c r="H724" s="71"/>
    </row>
    <row r="725">
      <c r="H725" s="71"/>
    </row>
    <row r="726">
      <c r="H726" s="71"/>
    </row>
    <row r="727">
      <c r="H727" s="71"/>
    </row>
    <row r="728">
      <c r="H728" s="71"/>
    </row>
    <row r="729">
      <c r="H729" s="71"/>
    </row>
    <row r="730">
      <c r="H730" s="71"/>
    </row>
    <row r="731">
      <c r="H731" s="71"/>
    </row>
    <row r="732">
      <c r="H732" s="71"/>
    </row>
    <row r="733">
      <c r="H733" s="71"/>
    </row>
    <row r="734">
      <c r="H734" s="71"/>
    </row>
    <row r="735">
      <c r="H735" s="71"/>
    </row>
    <row r="736">
      <c r="H736" s="71"/>
    </row>
    <row r="737">
      <c r="H737" s="71"/>
    </row>
    <row r="738">
      <c r="H738" s="71"/>
    </row>
    <row r="739">
      <c r="H739" s="71"/>
    </row>
    <row r="740">
      <c r="H740" s="71"/>
    </row>
    <row r="741">
      <c r="H741" s="71"/>
    </row>
    <row r="742">
      <c r="H742" s="71"/>
    </row>
    <row r="743">
      <c r="H743" s="71"/>
    </row>
    <row r="744">
      <c r="H744" s="71"/>
    </row>
    <row r="745">
      <c r="H745" s="71"/>
    </row>
    <row r="746">
      <c r="H746" s="71"/>
    </row>
    <row r="747">
      <c r="H747" s="71"/>
    </row>
    <row r="748">
      <c r="H748" s="71"/>
    </row>
    <row r="749">
      <c r="H749" s="71"/>
    </row>
    <row r="750">
      <c r="H750" s="71"/>
    </row>
    <row r="751">
      <c r="H751" s="71"/>
    </row>
    <row r="752">
      <c r="H752" s="71"/>
    </row>
    <row r="753">
      <c r="H753" s="71"/>
    </row>
    <row r="754">
      <c r="H754" s="71"/>
    </row>
    <row r="755">
      <c r="H755" s="71"/>
    </row>
    <row r="756">
      <c r="H756" s="71"/>
    </row>
    <row r="757">
      <c r="H757" s="71"/>
    </row>
    <row r="758">
      <c r="H758" s="71"/>
    </row>
    <row r="759">
      <c r="H759" s="71"/>
    </row>
    <row r="760">
      <c r="H760" s="71"/>
    </row>
    <row r="761">
      <c r="H761" s="71"/>
    </row>
    <row r="762">
      <c r="H762" s="71"/>
    </row>
    <row r="763">
      <c r="H763" s="71"/>
    </row>
    <row r="764">
      <c r="H764" s="71"/>
    </row>
    <row r="765">
      <c r="H765" s="71"/>
    </row>
    <row r="766">
      <c r="H766" s="71"/>
    </row>
    <row r="767">
      <c r="H767" s="71"/>
    </row>
    <row r="768">
      <c r="H768" s="71"/>
    </row>
    <row r="769">
      <c r="H769" s="71"/>
    </row>
    <row r="770">
      <c r="H770" s="71"/>
    </row>
    <row r="771">
      <c r="H771" s="71"/>
    </row>
    <row r="772">
      <c r="H772" s="71"/>
    </row>
    <row r="773">
      <c r="H773" s="71"/>
    </row>
    <row r="774">
      <c r="H774" s="71"/>
    </row>
    <row r="775">
      <c r="H775" s="71"/>
    </row>
    <row r="776">
      <c r="H776" s="71"/>
    </row>
    <row r="777">
      <c r="H777" s="71"/>
    </row>
    <row r="778">
      <c r="H778" s="71"/>
    </row>
    <row r="779">
      <c r="H779" s="71"/>
    </row>
    <row r="780">
      <c r="H780" s="71"/>
    </row>
    <row r="781">
      <c r="H781" s="71"/>
    </row>
    <row r="782">
      <c r="H782" s="71"/>
    </row>
    <row r="783">
      <c r="H783" s="71"/>
    </row>
    <row r="784">
      <c r="H784" s="71"/>
    </row>
    <row r="785">
      <c r="H785" s="71"/>
    </row>
    <row r="786">
      <c r="H786" s="71"/>
    </row>
    <row r="787">
      <c r="H787" s="71"/>
    </row>
    <row r="788">
      <c r="H788" s="71"/>
    </row>
    <row r="789">
      <c r="H789" s="71"/>
    </row>
    <row r="790">
      <c r="H790" s="71"/>
    </row>
    <row r="791">
      <c r="H791" s="71"/>
    </row>
    <row r="792">
      <c r="H792" s="71"/>
    </row>
    <row r="793">
      <c r="H793" s="71"/>
    </row>
    <row r="794">
      <c r="H794" s="71"/>
    </row>
    <row r="795">
      <c r="H795" s="71"/>
    </row>
    <row r="796">
      <c r="H796" s="71"/>
    </row>
    <row r="797">
      <c r="H797" s="71"/>
    </row>
    <row r="798">
      <c r="H798" s="71"/>
    </row>
    <row r="799">
      <c r="H799" s="71"/>
    </row>
    <row r="800">
      <c r="H800" s="71"/>
    </row>
    <row r="801">
      <c r="H801" s="71"/>
    </row>
    <row r="802">
      <c r="H802" s="71"/>
    </row>
    <row r="803">
      <c r="H803" s="71"/>
    </row>
    <row r="804">
      <c r="H804" s="71"/>
    </row>
    <row r="805">
      <c r="H805" s="71"/>
    </row>
    <row r="806">
      <c r="H806" s="71"/>
    </row>
    <row r="807">
      <c r="H807" s="71"/>
    </row>
    <row r="808">
      <c r="H808" s="71"/>
    </row>
    <row r="809">
      <c r="H809" s="71"/>
    </row>
    <row r="810">
      <c r="H810" s="71"/>
    </row>
    <row r="811">
      <c r="H811" s="71"/>
    </row>
    <row r="812">
      <c r="H812" s="71"/>
    </row>
    <row r="813">
      <c r="H813" s="71"/>
    </row>
    <row r="814">
      <c r="H814" s="71"/>
    </row>
    <row r="815">
      <c r="H815" s="71"/>
    </row>
    <row r="816">
      <c r="H816" s="71"/>
    </row>
    <row r="817">
      <c r="H817" s="71"/>
    </row>
    <row r="818">
      <c r="H818" s="71"/>
    </row>
    <row r="819">
      <c r="H819" s="71"/>
    </row>
    <row r="820">
      <c r="H820" s="71"/>
    </row>
    <row r="821">
      <c r="H821" s="71"/>
    </row>
    <row r="822">
      <c r="H822" s="71"/>
    </row>
    <row r="823">
      <c r="H823" s="71"/>
    </row>
    <row r="824">
      <c r="H824" s="71"/>
    </row>
    <row r="825">
      <c r="H825" s="71"/>
    </row>
    <row r="826">
      <c r="H826" s="71"/>
    </row>
    <row r="827">
      <c r="H827" s="71"/>
    </row>
    <row r="828">
      <c r="H828" s="71"/>
    </row>
    <row r="829">
      <c r="H829" s="71"/>
    </row>
    <row r="830">
      <c r="H830" s="71"/>
    </row>
    <row r="831">
      <c r="H831" s="71"/>
    </row>
    <row r="832">
      <c r="H832" s="71"/>
    </row>
    <row r="833">
      <c r="H833" s="71"/>
    </row>
    <row r="834">
      <c r="H834" s="71"/>
    </row>
    <row r="835">
      <c r="H835" s="71"/>
    </row>
    <row r="836">
      <c r="H836" s="71"/>
    </row>
    <row r="837">
      <c r="H837" s="71"/>
    </row>
    <row r="838">
      <c r="H838" s="71"/>
    </row>
    <row r="839">
      <c r="H839" s="71"/>
    </row>
    <row r="840">
      <c r="H840" s="71"/>
    </row>
    <row r="841">
      <c r="H841" s="71"/>
    </row>
    <row r="842">
      <c r="H842" s="71"/>
    </row>
    <row r="843">
      <c r="H843" s="71"/>
    </row>
    <row r="844">
      <c r="H844" s="71"/>
    </row>
    <row r="845">
      <c r="H845" s="71"/>
    </row>
    <row r="846">
      <c r="H846" s="71"/>
    </row>
    <row r="847">
      <c r="H847" s="71"/>
    </row>
    <row r="848">
      <c r="H848" s="71"/>
    </row>
    <row r="849">
      <c r="H849" s="71"/>
    </row>
    <row r="850">
      <c r="H850" s="71"/>
    </row>
    <row r="851">
      <c r="H851" s="71"/>
    </row>
    <row r="852">
      <c r="H852" s="71"/>
    </row>
    <row r="853">
      <c r="H853" s="71"/>
    </row>
    <row r="854">
      <c r="H854" s="71"/>
    </row>
    <row r="855">
      <c r="H855" s="71"/>
    </row>
    <row r="856">
      <c r="H856" s="71"/>
    </row>
    <row r="857">
      <c r="H857" s="71"/>
    </row>
    <row r="858">
      <c r="H858" s="71"/>
    </row>
    <row r="859">
      <c r="H859" s="71"/>
    </row>
    <row r="860">
      <c r="H860" s="71"/>
    </row>
    <row r="861">
      <c r="H861" s="71"/>
    </row>
    <row r="862">
      <c r="H862" s="71"/>
    </row>
    <row r="863">
      <c r="H863" s="71"/>
    </row>
    <row r="864">
      <c r="H864" s="71"/>
    </row>
    <row r="865">
      <c r="H865" s="71"/>
    </row>
    <row r="866">
      <c r="H866" s="71"/>
    </row>
    <row r="867">
      <c r="H867" s="71"/>
    </row>
    <row r="868">
      <c r="H868" s="71"/>
    </row>
    <row r="869">
      <c r="H869" s="71"/>
    </row>
    <row r="870">
      <c r="H870" s="71"/>
    </row>
    <row r="871">
      <c r="H871" s="71"/>
    </row>
    <row r="872">
      <c r="H872" s="71"/>
    </row>
    <row r="873">
      <c r="H873" s="71"/>
    </row>
    <row r="874">
      <c r="H874" s="71"/>
    </row>
    <row r="875">
      <c r="H875" s="71"/>
    </row>
    <row r="876">
      <c r="H876" s="71"/>
    </row>
    <row r="877">
      <c r="H877" s="71"/>
    </row>
    <row r="878">
      <c r="H878" s="71"/>
    </row>
    <row r="879">
      <c r="H879" s="71"/>
    </row>
    <row r="880">
      <c r="H880" s="71"/>
    </row>
    <row r="881">
      <c r="H881" s="71"/>
    </row>
    <row r="882">
      <c r="H882" s="71"/>
    </row>
    <row r="883">
      <c r="H883" s="71"/>
    </row>
    <row r="884">
      <c r="H884" s="71"/>
    </row>
    <row r="885">
      <c r="H885" s="71"/>
    </row>
    <row r="886">
      <c r="H886" s="71"/>
    </row>
    <row r="887">
      <c r="H887" s="71"/>
    </row>
    <row r="888">
      <c r="H888" s="71"/>
    </row>
    <row r="889">
      <c r="H889" s="71"/>
    </row>
    <row r="890">
      <c r="H890" s="71"/>
    </row>
    <row r="891">
      <c r="H891" s="71"/>
    </row>
    <row r="892">
      <c r="H892" s="71"/>
    </row>
    <row r="893">
      <c r="H893" s="71"/>
    </row>
    <row r="894">
      <c r="H894" s="71"/>
    </row>
    <row r="895">
      <c r="H895" s="71"/>
    </row>
    <row r="896">
      <c r="H896" s="71"/>
    </row>
    <row r="897">
      <c r="H897" s="71"/>
    </row>
    <row r="898">
      <c r="H898" s="71"/>
    </row>
    <row r="899">
      <c r="H899" s="71"/>
    </row>
    <row r="900">
      <c r="H900" s="71"/>
    </row>
    <row r="901">
      <c r="H901" s="71"/>
    </row>
    <row r="902">
      <c r="H902" s="71"/>
    </row>
    <row r="903">
      <c r="H903" s="71"/>
    </row>
    <row r="904">
      <c r="H904" s="71"/>
    </row>
    <row r="905">
      <c r="H905" s="71"/>
    </row>
    <row r="906">
      <c r="H906" s="71"/>
    </row>
    <row r="907">
      <c r="H907" s="71"/>
    </row>
    <row r="908">
      <c r="H908" s="71"/>
    </row>
    <row r="909">
      <c r="H909" s="71"/>
    </row>
    <row r="910">
      <c r="H910" s="71"/>
    </row>
    <row r="911">
      <c r="H911" s="71"/>
    </row>
    <row r="912">
      <c r="H912" s="71"/>
    </row>
    <row r="913">
      <c r="H913" s="71"/>
    </row>
    <row r="914">
      <c r="H914" s="71"/>
    </row>
    <row r="915">
      <c r="H915" s="71"/>
    </row>
    <row r="916">
      <c r="H916" s="71"/>
    </row>
    <row r="917">
      <c r="H917" s="71"/>
    </row>
    <row r="918">
      <c r="H918" s="71"/>
    </row>
    <row r="919">
      <c r="H919" s="71"/>
    </row>
    <row r="920">
      <c r="H920" s="71"/>
    </row>
    <row r="921">
      <c r="H921" s="71"/>
    </row>
    <row r="922">
      <c r="H922" s="71"/>
    </row>
    <row r="923">
      <c r="H923" s="71"/>
    </row>
    <row r="924">
      <c r="H924" s="71"/>
    </row>
    <row r="925">
      <c r="H925" s="71"/>
    </row>
    <row r="926">
      <c r="H926" s="71"/>
    </row>
    <row r="927">
      <c r="H927" s="71"/>
    </row>
    <row r="928">
      <c r="H928" s="71"/>
    </row>
    <row r="929">
      <c r="H929" s="71"/>
    </row>
    <row r="930">
      <c r="H930" s="71"/>
    </row>
    <row r="931">
      <c r="H931" s="71"/>
    </row>
    <row r="932">
      <c r="H932" s="71"/>
    </row>
    <row r="933">
      <c r="H933" s="71"/>
    </row>
    <row r="934">
      <c r="H934" s="71"/>
    </row>
    <row r="935">
      <c r="H935" s="71"/>
    </row>
    <row r="936">
      <c r="H936" s="71"/>
    </row>
    <row r="937">
      <c r="H937" s="71"/>
    </row>
    <row r="938">
      <c r="H938" s="71"/>
    </row>
    <row r="939">
      <c r="H939" s="71"/>
    </row>
    <row r="940">
      <c r="H940" s="71"/>
    </row>
    <row r="941">
      <c r="H941" s="71"/>
    </row>
    <row r="942">
      <c r="H942" s="71"/>
    </row>
    <row r="943">
      <c r="H943" s="71"/>
    </row>
    <row r="944">
      <c r="H944" s="71"/>
    </row>
    <row r="945">
      <c r="H945" s="71"/>
    </row>
    <row r="946">
      <c r="H946" s="71"/>
    </row>
    <row r="947">
      <c r="H947" s="71"/>
    </row>
    <row r="948">
      <c r="H948" s="71"/>
    </row>
    <row r="949">
      <c r="H949" s="71"/>
    </row>
    <row r="950">
      <c r="H950" s="71"/>
    </row>
    <row r="951">
      <c r="H951" s="71"/>
    </row>
    <row r="952">
      <c r="H952" s="71"/>
    </row>
    <row r="953">
      <c r="H953" s="71"/>
    </row>
    <row r="954">
      <c r="H954" s="71"/>
    </row>
    <row r="955">
      <c r="H955" s="71"/>
    </row>
    <row r="956">
      <c r="H956" s="71"/>
    </row>
    <row r="957">
      <c r="H957" s="71"/>
    </row>
    <row r="958">
      <c r="H958" s="71"/>
    </row>
    <row r="959">
      <c r="H959" s="71"/>
    </row>
    <row r="960">
      <c r="H960" s="71"/>
    </row>
    <row r="961">
      <c r="H961" s="71"/>
    </row>
    <row r="962">
      <c r="H962" s="71"/>
    </row>
    <row r="963">
      <c r="H963" s="71"/>
    </row>
    <row r="964">
      <c r="H964" s="71"/>
    </row>
    <row r="965">
      <c r="H965" s="71"/>
    </row>
    <row r="966">
      <c r="H966" s="71"/>
    </row>
    <row r="967">
      <c r="H967" s="71"/>
    </row>
    <row r="968">
      <c r="H968" s="71"/>
    </row>
    <row r="969">
      <c r="H969" s="71"/>
    </row>
    <row r="970">
      <c r="H970" s="71"/>
    </row>
    <row r="971">
      <c r="H971" s="71"/>
    </row>
    <row r="972">
      <c r="H972" s="71"/>
    </row>
    <row r="973">
      <c r="H973" s="71"/>
    </row>
    <row r="974">
      <c r="H974" s="71"/>
    </row>
    <row r="975">
      <c r="H975" s="71"/>
    </row>
    <row r="976">
      <c r="H976" s="71"/>
    </row>
    <row r="977">
      <c r="H977" s="71"/>
    </row>
    <row r="978">
      <c r="H978" s="71"/>
    </row>
    <row r="979">
      <c r="H979" s="71"/>
    </row>
    <row r="980">
      <c r="H980" s="71"/>
    </row>
    <row r="981">
      <c r="H981" s="71"/>
    </row>
    <row r="982">
      <c r="H982" s="71"/>
    </row>
    <row r="983">
      <c r="H983" s="71"/>
    </row>
    <row r="984">
      <c r="H984" s="71"/>
    </row>
    <row r="985">
      <c r="H985" s="71"/>
    </row>
    <row r="986">
      <c r="H986" s="71"/>
    </row>
    <row r="987">
      <c r="H987" s="71"/>
    </row>
    <row r="988">
      <c r="H988" s="71"/>
    </row>
    <row r="989">
      <c r="H989" s="71"/>
    </row>
    <row r="990">
      <c r="H990" s="71"/>
    </row>
    <row r="991">
      <c r="H991" s="71"/>
    </row>
    <row r="992">
      <c r="H992" s="71"/>
    </row>
    <row r="993">
      <c r="H993" s="71"/>
    </row>
    <row r="994">
      <c r="H994" s="71"/>
    </row>
    <row r="995">
      <c r="H995" s="71"/>
    </row>
    <row r="996">
      <c r="H996" s="71"/>
    </row>
    <row r="997">
      <c r="H997" s="71"/>
    </row>
    <row r="998">
      <c r="H998" s="71"/>
    </row>
    <row r="999">
      <c r="H999" s="71"/>
    </row>
    <row r="1000">
      <c r="H1000" s="71"/>
    </row>
    <row r="1001">
      <c r="H1001" s="71"/>
    </row>
    <row r="1002">
      <c r="H1002" s="71"/>
    </row>
    <row r="1003">
      <c r="H1003" s="71"/>
    </row>
    <row r="1004">
      <c r="H1004" s="71"/>
    </row>
    <row r="1005">
      <c r="H1005" s="71"/>
    </row>
    <row r="1006">
      <c r="H1006" s="71"/>
    </row>
    <row r="1007">
      <c r="H1007" s="71"/>
    </row>
    <row r="1008">
      <c r="H1008" s="71"/>
    </row>
    <row r="1009">
      <c r="H1009" s="71"/>
    </row>
    <row r="1010">
      <c r="H1010" s="71"/>
    </row>
    <row r="1011">
      <c r="H1011" s="71"/>
    </row>
  </sheetData>
  <conditionalFormatting sqref="E3:E1011">
    <cfRule type="expression" dxfId="7" priority="1">
      <formula>AND($E3&lt;=$D3,$E3&lt;&gt;"",$D3&lt;&gt;"")</formula>
    </cfRule>
  </conditionalFormatting>
  <drawing r:id="rId2"/>
  <legacyDrawing r:id="rId3"/>
  <tableParts count="3">
    <tablePart r:id="rId7"/>
    <tablePart r:id="rId8"/>
    <tablePart r:id="rId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25"/>
    <col customWidth="1" min="3" max="3" width="31.0"/>
    <col customWidth="1" min="4" max="4" width="27.25"/>
    <col customWidth="1" min="8" max="8" width="26.25"/>
  </cols>
  <sheetData>
    <row r="2" ht="22.5" customHeight="1">
      <c r="B2" s="45" t="s">
        <v>150</v>
      </c>
      <c r="C2" s="45" t="s">
        <v>214</v>
      </c>
      <c r="D2" s="10" t="s">
        <v>46</v>
      </c>
      <c r="E2" s="45" t="s">
        <v>49</v>
      </c>
    </row>
    <row r="3" ht="22.5" customHeight="1">
      <c r="B3" s="33">
        <v>45720.0</v>
      </c>
      <c r="C3" s="34" t="s">
        <v>26</v>
      </c>
      <c r="D3" s="36" t="str">
        <f>Envios[Codigo]</f>
        <v>Peonza pack tradi (52mm)</v>
      </c>
      <c r="E3" s="35">
        <v>30.0</v>
      </c>
    </row>
    <row r="4" ht="22.5" customHeight="1">
      <c r="B4" s="33">
        <v>45720.0</v>
      </c>
      <c r="C4" s="38" t="s">
        <v>27</v>
      </c>
      <c r="D4" s="39" t="str">
        <f>Envios[Codigo]</f>
        <v>Peonza pack mini (48mm)</v>
      </c>
      <c r="E4" s="40">
        <v>142.0</v>
      </c>
      <c r="H4" s="74"/>
    </row>
    <row r="5" ht="22.5" customHeight="1">
      <c r="B5" s="33">
        <v>45720.0</v>
      </c>
      <c r="C5" s="38" t="s">
        <v>32</v>
      </c>
      <c r="D5" s="39" t="str">
        <f>Envios[Codigo]</f>
        <v>Solo tubo Flexi Vox (transparente)</v>
      </c>
      <c r="E5" s="40">
        <v>73.0</v>
      </c>
      <c r="H5" s="74"/>
    </row>
    <row r="6" ht="22.5" customHeight="1">
      <c r="B6" s="33">
        <v>45720.0</v>
      </c>
      <c r="C6" s="38" t="s">
        <v>35</v>
      </c>
      <c r="D6" s="39" t="str">
        <f>Envios[Codigo]</f>
        <v>Set Flexi Vox (transparente)</v>
      </c>
      <c r="E6" s="40">
        <v>98.0</v>
      </c>
      <c r="H6" s="74"/>
    </row>
    <row r="7" ht="22.5" customHeight="1">
      <c r="B7" s="33">
        <v>45720.0</v>
      </c>
      <c r="C7" s="38" t="s">
        <v>26</v>
      </c>
      <c r="D7" s="39" t="str">
        <f>Envios[Codigo]</f>
        <v>Peonza pack tradi (52mm)</v>
      </c>
      <c r="E7" s="40">
        <v>75.0</v>
      </c>
      <c r="H7" s="74"/>
    </row>
    <row r="8" ht="22.5" customHeight="1">
      <c r="B8" s="33">
        <v>45720.0</v>
      </c>
      <c r="C8" s="38" t="s">
        <v>27</v>
      </c>
      <c r="D8" s="39" t="str">
        <f>Envios[Codigo]</f>
        <v>Peonza pack mini (48mm)</v>
      </c>
      <c r="E8" s="40">
        <v>52.0</v>
      </c>
      <c r="H8" s="74"/>
    </row>
    <row r="9" ht="22.5" customHeight="1">
      <c r="B9" s="33">
        <v>45720.0</v>
      </c>
      <c r="C9" s="38" t="s">
        <v>26</v>
      </c>
      <c r="D9" s="39" t="str">
        <f>Envios[Codigo]</f>
        <v>Peonza pack tradi (52mm)</v>
      </c>
      <c r="E9" s="40">
        <v>120.0</v>
      </c>
      <c r="H9" s="74"/>
    </row>
    <row r="10" ht="22.5" customHeight="1">
      <c r="B10" s="33">
        <v>45720.0</v>
      </c>
      <c r="C10" s="38" t="s">
        <v>114</v>
      </c>
      <c r="D10" s="39" t="str">
        <f>Envios[Codigo]</f>
        <v>Pegatina caja envio</v>
      </c>
      <c r="E10" s="40">
        <v>2.0</v>
      </c>
      <c r="H10" s="74"/>
    </row>
    <row r="11" ht="22.5" customHeight="1">
      <c r="B11" s="33">
        <v>45720.0</v>
      </c>
      <c r="C11" s="38" t="s">
        <v>114</v>
      </c>
      <c r="D11" s="39" t="str">
        <f>Envios[Codigo]</f>
        <v>Pegatina caja envio</v>
      </c>
      <c r="E11" s="40">
        <v>2.0</v>
      </c>
      <c r="H11" s="74"/>
    </row>
    <row r="12" ht="22.5" customHeight="1">
      <c r="B12" s="42">
        <v>45690.0</v>
      </c>
      <c r="C12" s="38" t="s">
        <v>114</v>
      </c>
      <c r="D12" s="39" t="str">
        <f>Envios[Codigo]</f>
        <v>Pegatina caja envio</v>
      </c>
      <c r="E12" s="40">
        <v>9.0</v>
      </c>
      <c r="H12" s="74"/>
    </row>
    <row r="13" ht="22.5" customHeight="1">
      <c r="B13" s="42">
        <v>45690.0</v>
      </c>
      <c r="C13" s="38" t="s">
        <v>24</v>
      </c>
      <c r="D13" s="39" t="str">
        <f>Envios[Codigo]</f>
        <v>200 Mix blister</v>
      </c>
      <c r="E13" s="40">
        <v>448.0</v>
      </c>
      <c r="H13" s="74"/>
    </row>
    <row r="14" ht="22.5" customHeight="1">
      <c r="B14" s="42">
        <v>45690.0</v>
      </c>
      <c r="C14" s="38" t="s">
        <v>35</v>
      </c>
      <c r="D14" s="39" t="str">
        <f>Envios[Codigo]</f>
        <v>Set Flexi Vox (transparente)</v>
      </c>
      <c r="E14" s="40">
        <v>244.0</v>
      </c>
      <c r="H14" s="74"/>
    </row>
    <row r="15" ht="22.5" customHeight="1">
      <c r="B15" s="42">
        <v>45726.0</v>
      </c>
      <c r="C15" s="38" t="s">
        <v>114</v>
      </c>
      <c r="D15" s="39" t="str">
        <f>Envios[Codigo]</f>
        <v>Pegatina caja envio</v>
      </c>
      <c r="E15" s="40">
        <v>10.0</v>
      </c>
      <c r="H15" s="74"/>
    </row>
    <row r="16" ht="22.5" customHeight="1">
      <c r="B16" s="42">
        <v>45726.0</v>
      </c>
      <c r="C16" s="38" t="s">
        <v>22</v>
      </c>
      <c r="D16" s="39" t="str">
        <f>Envios[Codigo]</f>
        <v>250 pack 1e + 2 e</v>
      </c>
      <c r="E16" s="40">
        <v>192.0</v>
      </c>
      <c r="H16" s="74"/>
    </row>
    <row r="17" ht="22.5" customHeight="1">
      <c r="B17" s="42">
        <v>45726.0</v>
      </c>
      <c r="C17" s="38" t="s">
        <v>23</v>
      </c>
      <c r="D17" s="39" t="str">
        <f>Envios[Codigo]</f>
        <v>250 Blister 1e</v>
      </c>
      <c r="E17" s="40">
        <v>138.0</v>
      </c>
      <c r="H17" s="74"/>
    </row>
    <row r="18" ht="22.5" customHeight="1">
      <c r="B18" s="42">
        <v>45726.0</v>
      </c>
      <c r="C18" s="38" t="s">
        <v>24</v>
      </c>
      <c r="D18" s="39" t="str">
        <f>Envios[Codigo]</f>
        <v>200 Mix blister</v>
      </c>
      <c r="E18" s="40">
        <v>320.0</v>
      </c>
      <c r="H18" s="74"/>
    </row>
    <row r="19" ht="22.5" customHeight="1">
      <c r="B19" s="42">
        <v>45727.0</v>
      </c>
      <c r="C19" s="38" t="s">
        <v>15</v>
      </c>
      <c r="D19" s="39" t="str">
        <f>Envios[Codigo]</f>
        <v>125 Blister 1 euro</v>
      </c>
      <c r="E19" s="40">
        <v>232.0</v>
      </c>
      <c r="H19" s="74"/>
    </row>
    <row r="20" ht="22.5" customHeight="1">
      <c r="B20" s="42">
        <v>45727.0</v>
      </c>
      <c r="C20" s="38" t="s">
        <v>24</v>
      </c>
      <c r="D20" s="39" t="str">
        <f>Envios[Codigo]</f>
        <v>200 Mix blister</v>
      </c>
      <c r="E20" s="40">
        <v>128.0</v>
      </c>
      <c r="H20" s="74"/>
    </row>
    <row r="21" ht="22.5" customHeight="1">
      <c r="B21" s="42">
        <v>45727.0</v>
      </c>
      <c r="C21" s="38" t="s">
        <v>103</v>
      </c>
      <c r="D21" s="39" t="str">
        <f>Envios[Codigo]</f>
        <v>200g Menú Junior</v>
      </c>
      <c r="E21" s="40">
        <v>300.0</v>
      </c>
      <c r="H21" s="74"/>
    </row>
    <row r="22" ht="22.5" customHeight="1">
      <c r="B22" s="42">
        <v>45726.0</v>
      </c>
      <c r="C22" s="38" t="s">
        <v>114</v>
      </c>
      <c r="D22" s="39" t="str">
        <f>Envios[Codigo]</f>
        <v>Pegatina caja envio</v>
      </c>
      <c r="E22" s="40">
        <v>7.0</v>
      </c>
      <c r="H22" s="74"/>
    </row>
    <row r="23" ht="22.5" customHeight="1">
      <c r="B23" s="42">
        <v>45700.0</v>
      </c>
      <c r="C23" s="38" t="s">
        <v>26</v>
      </c>
      <c r="D23" s="39" t="str">
        <f>Envios[Codigo]</f>
        <v>Peonza pack tradi (52mm)</v>
      </c>
      <c r="E23" s="40">
        <v>115.0</v>
      </c>
      <c r="H23" s="64"/>
    </row>
    <row r="24" ht="22.5" customHeight="1">
      <c r="B24" s="42">
        <v>45700.0</v>
      </c>
      <c r="C24" s="38" t="s">
        <v>36</v>
      </c>
      <c r="D24" s="39" t="str">
        <f>Envios[Codigo]</f>
        <v>Set Flexi Vox (rojo)</v>
      </c>
      <c r="E24" s="40">
        <v>87.0</v>
      </c>
    </row>
    <row r="25" ht="22.5" customHeight="1">
      <c r="B25" s="42">
        <v>45700.0</v>
      </c>
      <c r="C25" s="38" t="s">
        <v>35</v>
      </c>
      <c r="D25" s="39" t="str">
        <f>Envios[Codigo]</f>
        <v>Set Flexi Vox (transparente)</v>
      </c>
      <c r="E25" s="40">
        <v>49.0</v>
      </c>
    </row>
    <row r="26" ht="22.5" customHeight="1">
      <c r="B26" s="42">
        <v>45700.0</v>
      </c>
      <c r="C26" s="38" t="s">
        <v>37</v>
      </c>
      <c r="D26" s="39" t="str">
        <f>Envios[Codigo]</f>
        <v>Set Flexi Vox (negro)</v>
      </c>
      <c r="E26" s="40">
        <v>75.0</v>
      </c>
    </row>
    <row r="27" ht="22.5" customHeight="1">
      <c r="B27" s="42">
        <v>45700.0</v>
      </c>
      <c r="C27" s="38" t="s">
        <v>114</v>
      </c>
      <c r="D27" s="39" t="str">
        <f>Envios[Codigo]</f>
        <v>Pegatina caja envio</v>
      </c>
      <c r="E27" s="40"/>
    </row>
    <row r="28" ht="22.5" customHeight="1">
      <c r="B28" s="42">
        <v>45729.0</v>
      </c>
      <c r="C28" s="38" t="s">
        <v>14</v>
      </c>
      <c r="D28" s="39" t="str">
        <f>Envios[Codigo]</f>
        <v>125 Blister 2 euro</v>
      </c>
      <c r="E28" s="40">
        <v>232.0</v>
      </c>
    </row>
    <row r="29" ht="22.5" customHeight="1">
      <c r="B29" s="42">
        <v>45729.0</v>
      </c>
      <c r="C29" s="38" t="s">
        <v>217</v>
      </c>
      <c r="D29" s="39" t="str">
        <f>Envios[Codigo]</f>
        <v>400 Mix blister</v>
      </c>
      <c r="E29" s="40">
        <v>135.0</v>
      </c>
    </row>
    <row r="30" ht="22.5" customHeight="1">
      <c r="B30" s="42">
        <v>45729.0</v>
      </c>
      <c r="C30" s="38" t="s">
        <v>114</v>
      </c>
      <c r="D30" s="39" t="str">
        <f>Envios[Codigo]</f>
        <v>Pegatina caja envio</v>
      </c>
      <c r="E30" s="40">
        <v>7.0</v>
      </c>
    </row>
    <row r="31" ht="22.5" customHeight="1">
      <c r="B31" s="42">
        <v>45729.0</v>
      </c>
      <c r="C31" s="38" t="s">
        <v>22</v>
      </c>
      <c r="D31" s="39" t="str">
        <f>Envios[Codigo]</f>
        <v>250 pack 1e + 2 e</v>
      </c>
      <c r="E31" s="40">
        <v>66.0</v>
      </c>
    </row>
    <row r="32" ht="22.5" customHeight="1">
      <c r="B32" s="42">
        <v>45729.0</v>
      </c>
      <c r="C32" s="38" t="s">
        <v>26</v>
      </c>
      <c r="D32" s="39" t="str">
        <f>Envios[Codigo]</f>
        <v>Peonza pack tradi (52mm)</v>
      </c>
      <c r="E32" s="40">
        <v>68.0</v>
      </c>
    </row>
    <row r="33" ht="22.5" customHeight="1">
      <c r="B33" s="42">
        <v>45729.0</v>
      </c>
      <c r="C33" s="38" t="s">
        <v>27</v>
      </c>
      <c r="D33" s="39" t="str">
        <f>Envios[Codigo]</f>
        <v>Peonza pack mini (48mm)</v>
      </c>
      <c r="E33" s="40">
        <v>124.0</v>
      </c>
    </row>
    <row r="34" ht="22.5" customHeight="1">
      <c r="B34" s="42">
        <v>45736.0</v>
      </c>
      <c r="C34" s="38" t="s">
        <v>32</v>
      </c>
      <c r="D34" s="39" t="str">
        <f>Envios[Codigo]</f>
        <v>Solo tubo Flexi Vox (transparente)</v>
      </c>
      <c r="E34" s="40">
        <v>200.0</v>
      </c>
    </row>
    <row r="35" ht="22.5" customHeight="1">
      <c r="B35" s="42">
        <v>45736.0</v>
      </c>
      <c r="C35" s="38" t="s">
        <v>35</v>
      </c>
      <c r="D35" s="39" t="str">
        <f>Envios[Codigo]</f>
        <v>Set Flexi Vox (transparente)</v>
      </c>
      <c r="E35" s="40">
        <v>74.0</v>
      </c>
    </row>
    <row r="36" ht="22.5" customHeight="1">
      <c r="B36" s="42">
        <v>45740.0</v>
      </c>
      <c r="C36" s="38" t="s">
        <v>14</v>
      </c>
      <c r="D36" s="39" t="str">
        <f>Envios[Codigo]</f>
        <v>125 Blister 2 euro</v>
      </c>
      <c r="E36" s="40">
        <v>109.0</v>
      </c>
    </row>
    <row r="37" ht="22.5" customHeight="1">
      <c r="B37" s="42">
        <v>45740.0</v>
      </c>
      <c r="C37" s="38" t="s">
        <v>15</v>
      </c>
      <c r="D37" s="39" t="str">
        <f>Envios[Codigo]</f>
        <v>125 Blister 1 euro</v>
      </c>
      <c r="E37" s="40">
        <v>112.0</v>
      </c>
    </row>
    <row r="38" ht="22.5" customHeight="1">
      <c r="B38" s="42">
        <v>45740.0</v>
      </c>
      <c r="C38" s="38" t="s">
        <v>27</v>
      </c>
      <c r="D38" s="39" t="str">
        <f>Envios[Codigo]</f>
        <v>Peonza pack mini (48mm)</v>
      </c>
      <c r="E38" s="40">
        <f>6+7</f>
        <v>13</v>
      </c>
    </row>
    <row r="39" ht="22.5" customHeight="1">
      <c r="B39" s="42">
        <v>45740.0</v>
      </c>
      <c r="C39" s="38" t="s">
        <v>114</v>
      </c>
      <c r="D39" s="39" t="str">
        <f>Envios[Codigo]</f>
        <v>Pegatina caja envio</v>
      </c>
      <c r="E39" s="40">
        <v>3.0</v>
      </c>
    </row>
    <row r="40" ht="22.5" customHeight="1">
      <c r="B40" s="42">
        <v>45740.0</v>
      </c>
      <c r="C40" s="38" t="s">
        <v>5</v>
      </c>
      <c r="D40" s="39" t="str">
        <f>Envios[Codigo]</f>
        <v>Calcio 4 pcs</v>
      </c>
      <c r="E40" s="40">
        <v>305.0</v>
      </c>
    </row>
    <row r="41" ht="22.5" customHeight="1">
      <c r="B41" s="42">
        <v>45737.0</v>
      </c>
      <c r="C41" s="38" t="s">
        <v>6</v>
      </c>
      <c r="D41" s="39" t="str">
        <f>Envios[Codigo]</f>
        <v>Calcio 8 pcs</v>
      </c>
      <c r="E41" s="40">
        <v>154.0</v>
      </c>
    </row>
    <row r="42" ht="22.5" customHeight="1">
      <c r="B42" s="42">
        <v>45741.0</v>
      </c>
      <c r="C42" s="38" t="s">
        <v>26</v>
      </c>
      <c r="D42" s="39" t="str">
        <f>Envios[Codigo]</f>
        <v>Peonza pack tradi (52mm)</v>
      </c>
      <c r="E42" s="40">
        <f>12+115+115</f>
        <v>242</v>
      </c>
    </row>
    <row r="43" ht="22.5" customHeight="1">
      <c r="B43" s="42">
        <v>45741.0</v>
      </c>
      <c r="C43" s="38" t="s">
        <v>27</v>
      </c>
      <c r="D43" s="39" t="str">
        <f>Envios[Codigo]</f>
        <v>Peonza pack mini (48mm)</v>
      </c>
      <c r="E43" s="40">
        <f>84</f>
        <v>84</v>
      </c>
    </row>
    <row r="44" ht="22.5" customHeight="1">
      <c r="B44" s="42">
        <v>45741.0</v>
      </c>
      <c r="C44" s="38" t="s">
        <v>23</v>
      </c>
      <c r="D44" s="39" t="str">
        <f>Envios[Codigo]</f>
        <v>250 Blister 1e</v>
      </c>
      <c r="E44" s="40"/>
    </row>
    <row r="45" ht="22.5" customHeight="1">
      <c r="B45" s="42">
        <v>45741.0</v>
      </c>
      <c r="C45" s="38" t="s">
        <v>24</v>
      </c>
      <c r="D45" s="39" t="str">
        <f>Envios[Codigo]</f>
        <v>200 Mix blister</v>
      </c>
      <c r="E45" s="40">
        <v>4.0</v>
      </c>
    </row>
    <row r="46" ht="22.5" customHeight="1">
      <c r="B46" s="42">
        <v>45741.0</v>
      </c>
      <c r="C46" s="38" t="s">
        <v>16</v>
      </c>
      <c r="D46" s="39" t="str">
        <f>Envios[Codigo]</f>
        <v>125 Blister 50 cts</v>
      </c>
      <c r="E46" s="40"/>
    </row>
    <row r="47" ht="22.5" customHeight="1">
      <c r="B47" s="42">
        <v>45741.0</v>
      </c>
      <c r="C47" s="38" t="s">
        <v>14</v>
      </c>
      <c r="D47" s="39" t="str">
        <f>Envios[Codigo]</f>
        <v>125 Blister 2 euro</v>
      </c>
      <c r="E47" s="40">
        <v>-3.0</v>
      </c>
    </row>
    <row r="48" ht="22.5" customHeight="1">
      <c r="B48" s="42">
        <v>45741.0</v>
      </c>
      <c r="C48" s="38" t="s">
        <v>217</v>
      </c>
      <c r="D48" s="39" t="str">
        <f>Envios[Codigo]</f>
        <v>400 Mix blister</v>
      </c>
      <c r="E48" s="40">
        <v>6.0</v>
      </c>
    </row>
    <row r="49" ht="22.5" customHeight="1">
      <c r="B49" s="42">
        <v>45741.0</v>
      </c>
      <c r="C49" s="38" t="s">
        <v>22</v>
      </c>
      <c r="D49" s="39" t="str">
        <f>Envios[Codigo]</f>
        <v>250 pack 1e + 2 e</v>
      </c>
      <c r="E49" s="40">
        <v>6.0</v>
      </c>
    </row>
    <row r="50" ht="22.5" customHeight="1">
      <c r="B50" s="42">
        <v>45741.0</v>
      </c>
      <c r="C50" s="38" t="s">
        <v>15</v>
      </c>
      <c r="D50" s="39" t="str">
        <f>Envios[Codigo]</f>
        <v>125 Blister 1 euro</v>
      </c>
      <c r="E50" s="40">
        <v>60.0</v>
      </c>
    </row>
    <row r="51" ht="22.5" customHeight="1">
      <c r="B51" s="42">
        <v>45741.0</v>
      </c>
      <c r="C51" s="38" t="s">
        <v>5</v>
      </c>
      <c r="D51" s="39" t="str">
        <f>Envios[Codigo]</f>
        <v>Calcio 4 pcs</v>
      </c>
      <c r="E51" s="40">
        <f>110-55</f>
        <v>55</v>
      </c>
    </row>
    <row r="52" ht="22.5" customHeight="1">
      <c r="B52" s="42">
        <v>45741.0</v>
      </c>
      <c r="C52" s="38" t="s">
        <v>6</v>
      </c>
      <c r="D52" s="39" t="str">
        <f>Envios[Codigo]</f>
        <v>Calcio 8 pcs</v>
      </c>
      <c r="E52" s="40">
        <f>72-60</f>
        <v>12</v>
      </c>
    </row>
    <row r="53" ht="22.5" customHeight="1">
      <c r="B53" s="42">
        <v>45741.0</v>
      </c>
      <c r="C53" s="38" t="s">
        <v>7</v>
      </c>
      <c r="D53" s="39" t="str">
        <f>Envios[Codigo]</f>
        <v>Calcio 15 pcs</v>
      </c>
      <c r="E53" s="40">
        <v>0.0</v>
      </c>
    </row>
    <row r="54" ht="22.5" customHeight="1">
      <c r="B54" s="42">
        <v>45741.0</v>
      </c>
      <c r="C54" s="38" t="s">
        <v>114</v>
      </c>
      <c r="D54" s="39" t="str">
        <f>Envios[Codigo]</f>
        <v>Pegatina caja envio</v>
      </c>
      <c r="E54" s="40">
        <v>5.0</v>
      </c>
    </row>
    <row r="55" ht="22.5" customHeight="1">
      <c r="B55" s="42">
        <v>45747.0</v>
      </c>
      <c r="C55" s="38" t="s">
        <v>16</v>
      </c>
      <c r="D55" s="39" t="str">
        <f>Envios[Codigo]</f>
        <v>125 Blister 50 cts</v>
      </c>
      <c r="E55" s="40">
        <v>72.0</v>
      </c>
    </row>
    <row r="56" ht="22.5" customHeight="1">
      <c r="B56" s="42">
        <v>45747.0</v>
      </c>
      <c r="C56" s="38" t="s">
        <v>17</v>
      </c>
      <c r="D56" s="39" t="str">
        <f>Envios[Codigo]</f>
        <v>125 Blister 20 cts</v>
      </c>
      <c r="E56" s="40">
        <f>120+42+24</f>
        <v>186</v>
      </c>
    </row>
    <row r="57" ht="22.5" customHeight="1">
      <c r="B57" s="42">
        <v>45747.0</v>
      </c>
      <c r="C57" s="38" t="s">
        <v>18</v>
      </c>
      <c r="D57" s="39" t="str">
        <f>Envios[Codigo]</f>
        <v>125 Blister 10 cts</v>
      </c>
      <c r="E57" s="40">
        <v>64.0</v>
      </c>
    </row>
    <row r="58" ht="22.5" customHeight="1">
      <c r="B58" s="42">
        <v>45747.0</v>
      </c>
      <c r="C58" s="38" t="s">
        <v>26</v>
      </c>
      <c r="D58" s="39" t="str">
        <f>Envios[Codigo]</f>
        <v>Peonza pack tradi (52mm)</v>
      </c>
      <c r="E58" s="40">
        <f>116+10+8</f>
        <v>134</v>
      </c>
    </row>
    <row r="59" ht="22.5" customHeight="1">
      <c r="B59" s="40" t="s">
        <v>155</v>
      </c>
      <c r="C59" s="38" t="s">
        <v>15</v>
      </c>
      <c r="D59" s="39" t="str">
        <f>Envios[Codigo]</f>
        <v>125 Blister 1 euro</v>
      </c>
      <c r="E59" s="40">
        <v>116.0</v>
      </c>
    </row>
    <row r="60" ht="22.5" customHeight="1">
      <c r="B60" s="42">
        <v>45747.0</v>
      </c>
      <c r="C60" s="38" t="s">
        <v>114</v>
      </c>
      <c r="D60" s="39" t="str">
        <f>Envios[Codigo]</f>
        <v>Pegatina caja envio</v>
      </c>
      <c r="E60" s="40">
        <v>4.0</v>
      </c>
    </row>
    <row r="61" ht="22.5" customHeight="1">
      <c r="B61" s="42">
        <v>45750.0</v>
      </c>
      <c r="C61" s="38" t="s">
        <v>118</v>
      </c>
      <c r="D61" s="39" t="str">
        <f>Envios[Codigo]</f>
        <v>Pack 126 ceras</v>
      </c>
      <c r="E61" s="40">
        <v>96.0</v>
      </c>
    </row>
    <row r="62" ht="22.5" customHeight="1">
      <c r="B62" s="42">
        <v>45761.0</v>
      </c>
      <c r="C62" s="38" t="s">
        <v>14</v>
      </c>
      <c r="D62" s="39" t="str">
        <f>Envios[Codigo]</f>
        <v>125 Blister 2 euro</v>
      </c>
      <c r="E62" s="40">
        <v>114.0</v>
      </c>
    </row>
    <row r="63" ht="22.5" customHeight="1">
      <c r="B63" s="42">
        <v>45761.0</v>
      </c>
      <c r="C63" s="38" t="s">
        <v>14</v>
      </c>
      <c r="D63" s="39" t="str">
        <f>Envios[Codigo]</f>
        <v>125 Blister 2 euro</v>
      </c>
      <c r="E63" s="40">
        <v>110.0</v>
      </c>
    </row>
    <row r="64" ht="22.5" customHeight="1">
      <c r="B64" s="42">
        <v>45761.0</v>
      </c>
      <c r="C64" s="38" t="s">
        <v>22</v>
      </c>
      <c r="D64" s="39" t="str">
        <f>Envios[Codigo]</f>
        <v>250 pack 1e + 2 e</v>
      </c>
      <c r="E64" s="40">
        <v>65.0</v>
      </c>
    </row>
    <row r="65" ht="22.5" customHeight="1">
      <c r="B65" s="42">
        <v>45761.0</v>
      </c>
      <c r="C65" s="38" t="s">
        <v>22</v>
      </c>
      <c r="D65" s="39" t="str">
        <f>Envios[Codigo]</f>
        <v>250 pack 1e + 2 e</v>
      </c>
      <c r="E65" s="40">
        <v>65.0</v>
      </c>
    </row>
    <row r="66" ht="22.5" customHeight="1">
      <c r="B66" s="42">
        <v>45761.0</v>
      </c>
      <c r="C66" s="38" t="s">
        <v>22</v>
      </c>
      <c r="D66" s="39" t="str">
        <f>Envios[Codigo]</f>
        <v>250 pack 1e + 2 e</v>
      </c>
      <c r="E66" s="40">
        <v>65.0</v>
      </c>
    </row>
    <row r="67" ht="22.5" customHeight="1">
      <c r="B67" s="42">
        <v>45761.0</v>
      </c>
      <c r="C67" s="38" t="s">
        <v>103</v>
      </c>
      <c r="D67" s="39" t="str">
        <f>Envios[Codigo]</f>
        <v>200g Menú Junior</v>
      </c>
      <c r="E67" s="40">
        <v>100.0</v>
      </c>
    </row>
    <row r="68" ht="22.5" customHeight="1">
      <c r="B68" s="42">
        <v>45761.0</v>
      </c>
      <c r="C68" s="38" t="s">
        <v>15</v>
      </c>
      <c r="D68" s="39" t="str">
        <f>Envios[Codigo]</f>
        <v>125 Blister 1 euro</v>
      </c>
      <c r="E68" s="40">
        <v>117.0</v>
      </c>
    </row>
    <row r="69" ht="22.5" customHeight="1">
      <c r="B69" s="42">
        <v>45761.0</v>
      </c>
      <c r="C69" s="38" t="s">
        <v>26</v>
      </c>
      <c r="D69" s="39" t="str">
        <f>Envios[Codigo]</f>
        <v>Peonza pack tradi (52mm)</v>
      </c>
      <c r="E69" s="40">
        <v>67.0</v>
      </c>
    </row>
    <row r="70" ht="22.5" customHeight="1">
      <c r="B70" s="42">
        <v>45761.0</v>
      </c>
      <c r="C70" s="38" t="s">
        <v>23</v>
      </c>
      <c r="D70" s="39" t="str">
        <f>Envios[Codigo]</f>
        <v>250 Blister 1e</v>
      </c>
      <c r="E70" s="40">
        <v>35.0</v>
      </c>
    </row>
    <row r="71" ht="22.5" customHeight="1">
      <c r="B71" s="42">
        <v>45761.0</v>
      </c>
      <c r="C71" s="38" t="s">
        <v>114</v>
      </c>
      <c r="D71" s="39" t="str">
        <f>Envios[Codigo]</f>
        <v>Pegatina caja envio</v>
      </c>
      <c r="E71" s="40">
        <v>18.0</v>
      </c>
    </row>
    <row r="72" ht="22.5" customHeight="1">
      <c r="B72" s="42">
        <v>45771.0</v>
      </c>
      <c r="C72" s="38" t="s">
        <v>103</v>
      </c>
      <c r="D72" s="39" t="str">
        <f>Envios[Codigo]</f>
        <v>200g Menú Junior</v>
      </c>
      <c r="E72" s="40">
        <v>50.0</v>
      </c>
    </row>
    <row r="73" ht="22.5" customHeight="1">
      <c r="B73" s="42">
        <v>45771.0</v>
      </c>
      <c r="C73" s="38" t="s">
        <v>108</v>
      </c>
      <c r="D73" s="39" t="str">
        <f>Envios[Codigo]</f>
        <v>75g Gammarus</v>
      </c>
      <c r="E73" s="40">
        <v>100.0</v>
      </c>
    </row>
    <row r="74" ht="22.5" customHeight="1">
      <c r="B74" s="42">
        <v>45771.0</v>
      </c>
      <c r="C74" s="38" t="s">
        <v>32</v>
      </c>
      <c r="D74" s="39" t="str">
        <f>Envios[Codigo]</f>
        <v>Solo tubo Flexi Vox (transparente)</v>
      </c>
      <c r="E74" s="40">
        <v>250.0</v>
      </c>
    </row>
    <row r="75" ht="22.5" customHeight="1">
      <c r="B75" s="42">
        <v>45771.0</v>
      </c>
      <c r="C75" s="38" t="s">
        <v>26</v>
      </c>
      <c r="D75" s="39" t="str">
        <f>Envios[Codigo]</f>
        <v>Peonza pack tradi (52mm)</v>
      </c>
      <c r="E75" s="40">
        <v>99.0</v>
      </c>
    </row>
    <row r="76" ht="22.5" customHeight="1">
      <c r="B76" s="42">
        <v>45771.0</v>
      </c>
      <c r="C76" s="38" t="s">
        <v>27</v>
      </c>
      <c r="D76" s="39" t="str">
        <f>Envios[Codigo]</f>
        <v>Peonza pack mini (48mm)</v>
      </c>
      <c r="E76" s="40">
        <v>16.0</v>
      </c>
    </row>
    <row r="77" ht="22.5" customHeight="1">
      <c r="B77" s="42">
        <v>45785.0</v>
      </c>
      <c r="C77" s="38" t="s">
        <v>36</v>
      </c>
      <c r="D77" s="39" t="str">
        <f>Envios[Codigo]</f>
        <v>Set Flexi Vox (rojo)</v>
      </c>
      <c r="E77" s="40">
        <f t="shared" ref="E77:E78" si="1">128+128</f>
        <v>256</v>
      </c>
    </row>
    <row r="78" ht="22.5" customHeight="1">
      <c r="B78" s="42">
        <v>45785.0</v>
      </c>
      <c r="C78" s="38" t="s">
        <v>35</v>
      </c>
      <c r="D78" s="39" t="str">
        <f>Envios[Codigo]</f>
        <v>Set Flexi Vox (transparente)</v>
      </c>
      <c r="E78" s="40">
        <f t="shared" si="1"/>
        <v>256</v>
      </c>
    </row>
    <row r="79" ht="22.5" customHeight="1">
      <c r="B79" s="42">
        <v>45785.0</v>
      </c>
      <c r="C79" s="38" t="s">
        <v>14</v>
      </c>
      <c r="D79" s="39" t="str">
        <f>Envios[Codigo]</f>
        <v>125 Blister 2 euro</v>
      </c>
      <c r="E79" s="40">
        <v>115.0</v>
      </c>
    </row>
    <row r="80" ht="22.5" customHeight="1">
      <c r="B80" s="42">
        <v>45785.0</v>
      </c>
      <c r="C80" s="38" t="s">
        <v>118</v>
      </c>
      <c r="D80" s="39" t="str">
        <f>Envios[Codigo]</f>
        <v>Pack 126 ceras</v>
      </c>
      <c r="E80" s="40">
        <f>23+24</f>
        <v>47</v>
      </c>
    </row>
    <row r="81" ht="22.5" customHeight="1">
      <c r="B81" s="42">
        <v>45786.0</v>
      </c>
      <c r="C81" s="38" t="s">
        <v>37</v>
      </c>
      <c r="D81" s="39" t="str">
        <f>Envios[Codigo]</f>
        <v>Set Flexi Vox (negro)</v>
      </c>
      <c r="E81" s="40">
        <f>130+130</f>
        <v>260</v>
      </c>
    </row>
    <row r="82" ht="22.5" customHeight="1">
      <c r="B82" s="42">
        <v>45786.0</v>
      </c>
      <c r="C82" s="38" t="s">
        <v>33</v>
      </c>
      <c r="D82" s="39" t="str">
        <f>Envios[Codigo]</f>
        <v>Solo tubo Flexi Vox (rojo)</v>
      </c>
      <c r="E82" s="40">
        <v>249.0</v>
      </c>
    </row>
    <row r="83" ht="22.5" customHeight="1">
      <c r="B83" s="42">
        <v>45786.0</v>
      </c>
      <c r="C83" s="38" t="s">
        <v>34</v>
      </c>
      <c r="D83" s="39" t="str">
        <f>Envios[Codigo]</f>
        <v>Solo tubo Flexi Vox (negro)</v>
      </c>
      <c r="E83" s="40">
        <v>250.0</v>
      </c>
    </row>
    <row r="84" ht="22.5" customHeight="1">
      <c r="B84" s="42">
        <v>45786.0</v>
      </c>
      <c r="C84" s="38" t="s">
        <v>118</v>
      </c>
      <c r="D84" s="39" t="str">
        <f>Envios[Codigo]</f>
        <v>Pack 126 ceras</v>
      </c>
      <c r="E84" s="40">
        <f>24*4</f>
        <v>96</v>
      </c>
    </row>
    <row r="85" ht="22.5" customHeight="1">
      <c r="B85" s="42">
        <v>45789.0</v>
      </c>
      <c r="C85" s="38" t="s">
        <v>23</v>
      </c>
      <c r="D85" s="39" t="str">
        <f>Envios[Codigo]</f>
        <v>250 Blister 1e</v>
      </c>
      <c r="E85" s="40">
        <f>66+66+66</f>
        <v>198</v>
      </c>
    </row>
    <row r="86" ht="22.5" customHeight="1">
      <c r="B86" s="42">
        <v>45789.0</v>
      </c>
      <c r="C86" s="38" t="s">
        <v>22</v>
      </c>
      <c r="D86" s="39" t="str">
        <f>Envios[Codigo]</f>
        <v>250 pack 1e + 2 e</v>
      </c>
      <c r="E86" s="40">
        <f>64+65+65+2+2</f>
        <v>198</v>
      </c>
    </row>
    <row r="87" ht="22.5" customHeight="1">
      <c r="B87" s="42">
        <v>45789.0</v>
      </c>
      <c r="C87" s="38" t="s">
        <v>14</v>
      </c>
      <c r="D87" s="39" t="str">
        <f>Envios[Codigo]</f>
        <v>125 Blister 2 euro</v>
      </c>
      <c r="E87" s="40">
        <f>115+113</f>
        <v>228</v>
      </c>
    </row>
    <row r="88" ht="22.5" customHeight="1">
      <c r="B88" s="42">
        <v>45790.0</v>
      </c>
      <c r="C88" s="38" t="s">
        <v>15</v>
      </c>
      <c r="D88" s="39" t="str">
        <f>Envios[Codigo]</f>
        <v>125 Blister 1 euro</v>
      </c>
      <c r="E88" s="40">
        <v>230.0</v>
      </c>
    </row>
    <row r="89" ht="22.5" customHeight="1">
      <c r="B89" s="42">
        <v>45790.0</v>
      </c>
      <c r="C89" s="38" t="s">
        <v>118</v>
      </c>
      <c r="D89" s="39" t="str">
        <f>Envios[Codigo]</f>
        <v>Pack 126 ceras</v>
      </c>
      <c r="E89" s="40">
        <f>24+23+23+2</f>
        <v>72</v>
      </c>
    </row>
    <row r="90" ht="22.5" customHeight="1">
      <c r="B90" s="42">
        <v>45790.0</v>
      </c>
      <c r="C90" s="38" t="s">
        <v>103</v>
      </c>
      <c r="D90" s="39" t="str">
        <f>Envios[Codigo]</f>
        <v>200g Menú Junior</v>
      </c>
      <c r="E90" s="40">
        <v>101.0</v>
      </c>
    </row>
    <row r="91" ht="22.5" customHeight="1">
      <c r="B91" s="42">
        <v>45790.0</v>
      </c>
      <c r="C91" s="38" t="s">
        <v>108</v>
      </c>
      <c r="D91" s="39" t="str">
        <f>Envios[Codigo]</f>
        <v>75g Gammarus</v>
      </c>
      <c r="E91" s="40">
        <v>125.0</v>
      </c>
    </row>
    <row r="92" ht="22.5" customHeight="1">
      <c r="B92" s="42">
        <v>45790.0</v>
      </c>
      <c r="C92" s="38" t="s">
        <v>16</v>
      </c>
      <c r="D92" s="39" t="str">
        <f>Envios[Codigo]</f>
        <v>125 Blister 50 cts</v>
      </c>
      <c r="E92" s="40">
        <v>110.0</v>
      </c>
    </row>
    <row r="93" ht="22.5" customHeight="1">
      <c r="B93" s="42">
        <v>45790.0</v>
      </c>
      <c r="C93" s="38" t="s">
        <v>18</v>
      </c>
      <c r="D93" s="39" t="str">
        <f>Envios[Codigo]</f>
        <v>125 Blister 10 cts</v>
      </c>
      <c r="E93" s="40">
        <v>90.0</v>
      </c>
    </row>
    <row r="94" ht="22.5" customHeight="1">
      <c r="B94" s="42">
        <v>45792.0</v>
      </c>
      <c r="C94" s="38" t="s">
        <v>217</v>
      </c>
      <c r="D94" s="39" t="str">
        <f>Envios[Codigo]</f>
        <v>400 Mix blister</v>
      </c>
      <c r="E94" s="40">
        <v>34.0</v>
      </c>
    </row>
    <row r="95" ht="22.5" customHeight="1">
      <c r="B95" s="42">
        <v>45792.0</v>
      </c>
      <c r="C95" s="38" t="s">
        <v>218</v>
      </c>
      <c r="D95" s="39" t="str">
        <f>Envios[Codigo]</f>
        <v>Peonza pack boligrafo</v>
      </c>
      <c r="E95" s="40">
        <v>112.0</v>
      </c>
    </row>
    <row r="96" ht="22.5" customHeight="1">
      <c r="B96" s="42">
        <v>45792.0</v>
      </c>
      <c r="C96" s="38" t="s">
        <v>118</v>
      </c>
      <c r="D96" s="39" t="str">
        <f>Envios[Codigo]</f>
        <v>Pack 126 ceras</v>
      </c>
      <c r="E96" s="40">
        <v>5.0</v>
      </c>
    </row>
    <row r="97" ht="22.5" customHeight="1">
      <c r="B97" s="42">
        <v>45796.0</v>
      </c>
      <c r="C97" s="38" t="s">
        <v>103</v>
      </c>
      <c r="D97" s="39" t="str">
        <f>Envios[Codigo]</f>
        <v>200g Menú Junior</v>
      </c>
      <c r="E97" s="40">
        <v>2.0</v>
      </c>
    </row>
    <row r="98" ht="22.5" customHeight="1">
      <c r="B98" s="42">
        <v>45796.0</v>
      </c>
      <c r="C98" s="38" t="s">
        <v>5</v>
      </c>
      <c r="D98" s="39" t="str">
        <f>Envios[Codigo]</f>
        <v>Calcio 4 pcs</v>
      </c>
      <c r="E98" s="40">
        <v>2.0</v>
      </c>
    </row>
    <row r="99" ht="22.5" customHeight="1">
      <c r="B99" s="42">
        <v>45796.0</v>
      </c>
      <c r="C99" s="38" t="s">
        <v>15</v>
      </c>
      <c r="D99" s="39" t="str">
        <f>Envios[Codigo]</f>
        <v>125 Blister 1 euro</v>
      </c>
      <c r="E99" s="40">
        <v>1.0</v>
      </c>
    </row>
    <row r="100" ht="22.5" customHeight="1">
      <c r="B100" s="42">
        <v>45796.0</v>
      </c>
      <c r="C100" s="38" t="s">
        <v>35</v>
      </c>
      <c r="D100" s="39" t="str">
        <f>Envios[Codigo]</f>
        <v>Set Flexi Vox (transparente)</v>
      </c>
      <c r="E100" s="40">
        <v>2.0</v>
      </c>
    </row>
    <row r="101" ht="22.5" customHeight="1">
      <c r="B101" s="42">
        <v>45799.0</v>
      </c>
      <c r="C101" s="38" t="s">
        <v>32</v>
      </c>
      <c r="D101" s="39" t="str">
        <f>Envios[Codigo]</f>
        <v>Solo tubo Flexi Vox (transparente)</v>
      </c>
      <c r="E101" s="40">
        <v>75.0</v>
      </c>
    </row>
    <row r="102" ht="22.5" customHeight="1">
      <c r="B102" s="42">
        <v>45799.0</v>
      </c>
      <c r="C102" s="38" t="s">
        <v>118</v>
      </c>
      <c r="D102" s="39" t="str">
        <f>Envios[Codigo]</f>
        <v>Pack 126 ceras</v>
      </c>
      <c r="E102" s="40">
        <v>19.0</v>
      </c>
    </row>
    <row r="103" ht="22.5" customHeight="1">
      <c r="B103" s="42">
        <v>45799.0</v>
      </c>
      <c r="C103" s="38" t="s">
        <v>103</v>
      </c>
      <c r="D103" s="39" t="str">
        <f>Envios[Codigo]</f>
        <v>200g Menú Junior</v>
      </c>
      <c r="E103" s="40">
        <f>100+100</f>
        <v>200</v>
      </c>
    </row>
    <row r="104" ht="22.5" customHeight="1">
      <c r="B104" s="42">
        <v>45799.0</v>
      </c>
      <c r="C104" s="38" t="s">
        <v>26</v>
      </c>
      <c r="D104" s="39" t="str">
        <f>Envios[Codigo]</f>
        <v>Peonza pack tradi (52mm)</v>
      </c>
      <c r="E104" s="40">
        <f>120+120</f>
        <v>240</v>
      </c>
    </row>
    <row r="105" ht="22.5" customHeight="1">
      <c r="B105" s="42">
        <v>45799.0</v>
      </c>
      <c r="C105" s="38" t="s">
        <v>111</v>
      </c>
      <c r="D105" s="39" t="str">
        <f>Envios[Codigo]</f>
        <v>150g Calcio en polvo</v>
      </c>
      <c r="E105" s="40">
        <v>195.0</v>
      </c>
    </row>
    <row r="106" ht="22.5" customHeight="1">
      <c r="B106" s="42">
        <v>45803.0</v>
      </c>
      <c r="C106" s="38" t="s">
        <v>118</v>
      </c>
      <c r="D106" s="39" t="str">
        <f>Envios[Codigo]</f>
        <v>Pack 126 ceras</v>
      </c>
      <c r="E106" s="40">
        <f>23*7+7</f>
        <v>168</v>
      </c>
    </row>
    <row r="107" ht="22.5" customHeight="1">
      <c r="B107" s="42">
        <v>45803.0</v>
      </c>
      <c r="C107" s="38" t="s">
        <v>120</v>
      </c>
      <c r="D107" s="39" t="str">
        <f>Envios[Codigo]</f>
        <v>Caja 50 pack 4 lapices</v>
      </c>
      <c r="E107" s="40">
        <f>17+23</f>
        <v>40</v>
      </c>
    </row>
    <row r="108" ht="22.5" customHeight="1">
      <c r="B108" s="42">
        <v>45803.0</v>
      </c>
      <c r="C108" s="38" t="s">
        <v>123</v>
      </c>
      <c r="D108" s="39" t="str">
        <f>Envios[Codigo]</f>
        <v>Caja 25 pack 6 lapices</v>
      </c>
      <c r="E108" s="40">
        <f>28+52</f>
        <v>80</v>
      </c>
    </row>
    <row r="109" ht="22.5" customHeight="1">
      <c r="B109" s="42">
        <v>45804.0</v>
      </c>
      <c r="C109" s="38" t="s">
        <v>5</v>
      </c>
      <c r="D109" s="39" t="str">
        <f>Envios[Codigo]</f>
        <v>Calcio 4 pcs</v>
      </c>
      <c r="E109" s="40">
        <v>360.0</v>
      </c>
    </row>
    <row r="110" ht="22.5" customHeight="1">
      <c r="B110" s="42">
        <v>45804.0</v>
      </c>
      <c r="C110" s="38" t="s">
        <v>6</v>
      </c>
      <c r="D110" s="39" t="str">
        <f>Envios[Codigo]</f>
        <v>Calcio 8 pcs</v>
      </c>
      <c r="E110" s="40">
        <v>168.0</v>
      </c>
    </row>
    <row r="111" ht="22.5" customHeight="1">
      <c r="B111" s="42">
        <v>45806.0</v>
      </c>
      <c r="C111" s="38" t="s">
        <v>118</v>
      </c>
      <c r="D111" s="39" t="str">
        <f>Envios[Codigo]</f>
        <v>Pack 126 ceras</v>
      </c>
      <c r="E111" s="40">
        <v>15.0</v>
      </c>
    </row>
    <row r="112" ht="22.5" customHeight="1">
      <c r="B112" s="42">
        <v>45806.0</v>
      </c>
      <c r="C112" s="38" t="s">
        <v>217</v>
      </c>
      <c r="D112" s="39" t="str">
        <f>Envios[Codigo]</f>
        <v>400 Mix blister</v>
      </c>
      <c r="E112" s="40">
        <v>5.0</v>
      </c>
    </row>
    <row r="113" ht="22.5" customHeight="1">
      <c r="B113" s="42">
        <v>45806.0</v>
      </c>
      <c r="C113" s="38" t="s">
        <v>6</v>
      </c>
      <c r="D113" s="39" t="str">
        <f>Envios[Codigo]</f>
        <v>Calcio 8 pcs</v>
      </c>
      <c r="E113" s="40">
        <v>33.0</v>
      </c>
    </row>
    <row r="114" ht="22.5" customHeight="1">
      <c r="B114" s="42">
        <v>45806.0</v>
      </c>
      <c r="C114" s="38" t="s">
        <v>5</v>
      </c>
      <c r="D114" s="39" t="str">
        <f>Envios[Codigo]</f>
        <v>Calcio 4 pcs</v>
      </c>
      <c r="E114" s="40">
        <v>10.0</v>
      </c>
    </row>
    <row r="115" ht="22.5" customHeight="1">
      <c r="B115" s="42">
        <v>45806.0</v>
      </c>
      <c r="C115" s="38" t="s">
        <v>14</v>
      </c>
      <c r="D115" s="39" t="str">
        <f>Envios[Codigo]</f>
        <v>125 Blister 2 euro</v>
      </c>
      <c r="E115" s="40">
        <v>113.0</v>
      </c>
    </row>
    <row r="116" ht="22.5" customHeight="1">
      <c r="B116" s="42">
        <v>45806.0</v>
      </c>
      <c r="C116" s="38" t="s">
        <v>15</v>
      </c>
      <c r="D116" s="39" t="str">
        <f>Envios[Codigo]</f>
        <v>125 Blister 1 euro</v>
      </c>
      <c r="E116" s="40">
        <v>115.0</v>
      </c>
    </row>
    <row r="117" ht="22.5" customHeight="1">
      <c r="B117" s="42">
        <v>45806.0</v>
      </c>
      <c r="C117" s="38" t="s">
        <v>24</v>
      </c>
      <c r="D117" s="39" t="str">
        <f>Envios[Codigo]</f>
        <v>200 Mix blister</v>
      </c>
      <c r="E117" s="40">
        <f>66+66</f>
        <v>132</v>
      </c>
    </row>
    <row r="118" ht="22.5" customHeight="1">
      <c r="B118" s="42">
        <v>45806.0</v>
      </c>
      <c r="C118" s="38" t="s">
        <v>17</v>
      </c>
      <c r="D118" s="39" t="str">
        <f>Envios[Codigo]</f>
        <v>125 Blister 20 cts</v>
      </c>
      <c r="E118" s="40">
        <v>102.0</v>
      </c>
    </row>
    <row r="119" ht="22.5" customHeight="1">
      <c r="B119" s="42">
        <v>45806.0</v>
      </c>
      <c r="C119" s="38" t="s">
        <v>18</v>
      </c>
      <c r="D119" s="39" t="str">
        <f>Envios[Codigo]</f>
        <v>125 Blister 10 cts</v>
      </c>
      <c r="E119" s="40">
        <v>90.0</v>
      </c>
    </row>
    <row r="120" ht="22.5" customHeight="1">
      <c r="B120" s="42">
        <v>45806.0</v>
      </c>
      <c r="C120" s="38" t="s">
        <v>23</v>
      </c>
      <c r="D120" s="39" t="str">
        <f>Envios[Codigo]</f>
        <v>250 Blister 1e</v>
      </c>
      <c r="E120" s="40">
        <v>68.0</v>
      </c>
    </row>
    <row r="121" ht="22.5" customHeight="1">
      <c r="B121" s="42">
        <v>45807.0</v>
      </c>
      <c r="C121" s="38" t="s">
        <v>7</v>
      </c>
      <c r="D121" s="39" t="str">
        <f>Envios[Codigo]</f>
        <v>Calcio 15 pcs</v>
      </c>
      <c r="E121" s="40">
        <f>140+60-7</f>
        <v>193</v>
      </c>
    </row>
    <row r="122" ht="22.5" customHeight="1">
      <c r="B122" s="42">
        <v>45807.0</v>
      </c>
      <c r="C122" s="38" t="s">
        <v>103</v>
      </c>
      <c r="D122" s="39" t="str">
        <f>Envios[Codigo]</f>
        <v>200g Menú Junior</v>
      </c>
      <c r="E122" s="40">
        <v>58.0</v>
      </c>
    </row>
    <row r="123" ht="22.5" customHeight="1">
      <c r="B123" s="42">
        <v>45817.0</v>
      </c>
      <c r="C123" s="38" t="s">
        <v>22</v>
      </c>
      <c r="D123" s="39" t="str">
        <f>Envios[Codigo]</f>
        <v>250 pack 1e + 2 e</v>
      </c>
      <c r="E123" s="40">
        <f>66+65</f>
        <v>131</v>
      </c>
    </row>
    <row r="124" ht="22.5" customHeight="1">
      <c r="B124" s="42">
        <v>45817.0</v>
      </c>
      <c r="C124" s="38" t="s">
        <v>23</v>
      </c>
      <c r="D124" s="39" t="str">
        <f>Envios[Codigo]</f>
        <v>250 Blister 1e</v>
      </c>
      <c r="E124" s="40">
        <v>68.0</v>
      </c>
    </row>
    <row r="125" ht="22.5" customHeight="1">
      <c r="B125" s="42">
        <v>45817.0</v>
      </c>
      <c r="C125" s="38" t="s">
        <v>103</v>
      </c>
      <c r="D125" s="39" t="str">
        <f>Envios[Codigo]</f>
        <v>200g Menú Junior</v>
      </c>
      <c r="E125" s="40">
        <f>101*4</f>
        <v>404</v>
      </c>
    </row>
    <row r="126" ht="22.5" customHeight="1">
      <c r="B126" s="42">
        <v>45817.0</v>
      </c>
      <c r="C126" s="38" t="s">
        <v>26</v>
      </c>
      <c r="D126" s="39" t="str">
        <f>Envios[Codigo]</f>
        <v>Peonza pack tradi (52mm)</v>
      </c>
      <c r="E126" s="40">
        <v>88.0</v>
      </c>
    </row>
    <row r="127" ht="22.5" customHeight="1">
      <c r="B127" s="42">
        <v>45817.0</v>
      </c>
      <c r="C127" s="38" t="s">
        <v>218</v>
      </c>
      <c r="D127" s="39" t="str">
        <f>Envios[Codigo]</f>
        <v>Peonza pack boligrafo</v>
      </c>
      <c r="E127" s="40">
        <v>40.0</v>
      </c>
    </row>
    <row r="128" ht="22.5" customHeight="1">
      <c r="B128" s="42">
        <v>45818.0</v>
      </c>
      <c r="C128" s="38" t="s">
        <v>35</v>
      </c>
      <c r="D128" s="39" t="str">
        <f>Envios[Codigo]</f>
        <v>Set Flexi Vox (transparente)</v>
      </c>
      <c r="E128" s="40">
        <f>130*3</f>
        <v>390</v>
      </c>
    </row>
    <row r="129" ht="22.5" customHeight="1">
      <c r="B129" s="42">
        <v>45818.0</v>
      </c>
      <c r="C129" s="38" t="s">
        <v>24</v>
      </c>
      <c r="D129" s="39" t="str">
        <f>Envios[Codigo]</f>
        <v>200 Mix blister</v>
      </c>
      <c r="E129" s="40">
        <f>65+66+66</f>
        <v>197</v>
      </c>
    </row>
    <row r="130" ht="22.5" customHeight="1">
      <c r="B130" s="42">
        <v>45818.0</v>
      </c>
      <c r="C130" s="38" t="s">
        <v>108</v>
      </c>
      <c r="D130" s="39" t="str">
        <f>Envios[Codigo]</f>
        <v>75g Gammarus</v>
      </c>
      <c r="E130" s="40">
        <v>105.0</v>
      </c>
    </row>
    <row r="131" ht="22.5" customHeight="1">
      <c r="B131" s="42">
        <v>45820.0</v>
      </c>
      <c r="C131" s="38" t="s">
        <v>118</v>
      </c>
      <c r="D131" s="39" t="str">
        <f>Envios[Codigo]</f>
        <v>Pack 126 ceras</v>
      </c>
      <c r="E131" s="40">
        <f>7*24-1+9</f>
        <v>176</v>
      </c>
    </row>
    <row r="132" ht="22.5" customHeight="1">
      <c r="B132" s="42">
        <v>45820.0</v>
      </c>
      <c r="C132" s="38" t="s">
        <v>120</v>
      </c>
      <c r="D132" s="39" t="str">
        <f>Envios[Codigo]</f>
        <v>Caja 50 pack 4 lapices</v>
      </c>
      <c r="E132" s="40">
        <v>40.0</v>
      </c>
    </row>
    <row r="133" ht="22.5" customHeight="1">
      <c r="B133" s="42">
        <v>45820.0</v>
      </c>
      <c r="C133" s="38" t="s">
        <v>123</v>
      </c>
      <c r="D133" s="39" t="str">
        <f>Envios[Codigo]</f>
        <v>Caja 25 pack 6 lapices</v>
      </c>
      <c r="E133" s="40">
        <v>80.0</v>
      </c>
    </row>
    <row r="134" ht="22.5" customHeight="1">
      <c r="B134" s="42">
        <v>45821.0</v>
      </c>
      <c r="C134" s="38" t="s">
        <v>35</v>
      </c>
      <c r="D134" s="39" t="str">
        <f>Envios[Codigo]</f>
        <v>Set Flexi Vox (transparente)</v>
      </c>
      <c r="E134" s="40">
        <v>128.0</v>
      </c>
    </row>
    <row r="135" ht="22.5" customHeight="1">
      <c r="B135" s="42">
        <v>45821.0</v>
      </c>
      <c r="C135" s="38" t="s">
        <v>24</v>
      </c>
      <c r="D135" s="39" t="str">
        <f>Envios[Codigo]</f>
        <v>200 Mix blister</v>
      </c>
      <c r="E135" s="40">
        <f>66*6</f>
        <v>396</v>
      </c>
    </row>
    <row r="136" ht="22.5" customHeight="1">
      <c r="B136" s="42">
        <v>45824.0</v>
      </c>
      <c r="C136" s="38" t="s">
        <v>15</v>
      </c>
      <c r="D136" s="39" t="str">
        <f>Envios[Codigo]</f>
        <v>125 Blister 1 euro</v>
      </c>
      <c r="E136" s="40">
        <f>120*2</f>
        <v>240</v>
      </c>
    </row>
    <row r="137" ht="22.5" customHeight="1">
      <c r="B137" s="42">
        <v>45824.0</v>
      </c>
      <c r="C137" s="38" t="s">
        <v>118</v>
      </c>
      <c r="D137" s="39" t="str">
        <f>Envios[Codigo]</f>
        <v>Pack 126 ceras</v>
      </c>
      <c r="E137" s="40">
        <v>24.0</v>
      </c>
    </row>
    <row r="138" ht="22.5" customHeight="1">
      <c r="B138" s="42">
        <v>45825.0</v>
      </c>
      <c r="C138" s="38" t="s">
        <v>217</v>
      </c>
      <c r="D138" s="39" t="str">
        <f>Envios[Codigo]</f>
        <v>400 Mix blister</v>
      </c>
      <c r="E138" s="40">
        <f>35+35+36</f>
        <v>106</v>
      </c>
    </row>
    <row r="139" ht="22.5" customHeight="1">
      <c r="B139" s="42">
        <v>45825.0</v>
      </c>
      <c r="C139" s="38" t="s">
        <v>19</v>
      </c>
      <c r="D139" s="39" t="str">
        <f>Envios[Codigo]</f>
        <v>125 Blister 5 cts</v>
      </c>
      <c r="E139" s="40">
        <v>50.0</v>
      </c>
    </row>
    <row r="140" ht="22.5" customHeight="1">
      <c r="B140" s="42">
        <v>45825.0</v>
      </c>
      <c r="C140" s="38" t="s">
        <v>20</v>
      </c>
      <c r="D140" s="39" t="str">
        <f>Envios[Codigo]</f>
        <v>125 Blister 2 cts</v>
      </c>
      <c r="E140" s="40">
        <v>30.0</v>
      </c>
    </row>
    <row r="141" ht="22.5" customHeight="1">
      <c r="B141" s="42">
        <v>45825.0</v>
      </c>
      <c r="C141" s="38" t="s">
        <v>21</v>
      </c>
      <c r="D141" s="39" t="str">
        <f>Envios[Codigo]</f>
        <v>125 Blister 1 cts</v>
      </c>
      <c r="E141" s="40">
        <v>12.0</v>
      </c>
    </row>
    <row r="142" ht="22.5" customHeight="1">
      <c r="B142" s="42">
        <v>45825.0</v>
      </c>
      <c r="C142" s="38" t="s">
        <v>15</v>
      </c>
      <c r="D142" s="39" t="str">
        <f>Envios[Codigo]</f>
        <v>125 Blister 1 euro</v>
      </c>
      <c r="E142" s="40">
        <v>80.0</v>
      </c>
    </row>
    <row r="143" ht="22.5" customHeight="1">
      <c r="B143" s="42">
        <v>45825.0</v>
      </c>
      <c r="C143" s="38" t="s">
        <v>16</v>
      </c>
      <c r="D143" s="39" t="str">
        <f>Envios[Codigo]</f>
        <v>125 Blister 50 cts</v>
      </c>
      <c r="E143" s="40">
        <v>35.0</v>
      </c>
    </row>
    <row r="144" ht="22.5" customHeight="1">
      <c r="B144" s="42">
        <v>45825.0</v>
      </c>
      <c r="C144" s="38" t="s">
        <v>7</v>
      </c>
      <c r="D144" s="39" t="str">
        <f>Envios[Codigo]</f>
        <v>Calcio 15 pcs</v>
      </c>
      <c r="E144" s="40">
        <v>138.0</v>
      </c>
    </row>
    <row r="145" ht="22.5" customHeight="1">
      <c r="B145" s="42">
        <v>45825.0</v>
      </c>
      <c r="C145" s="38" t="s">
        <v>108</v>
      </c>
      <c r="D145" s="39" t="str">
        <f>Envios[Codigo]</f>
        <v>75g Gammarus</v>
      </c>
      <c r="E145" s="40">
        <v>105.0</v>
      </c>
    </row>
    <row r="146" ht="22.5" customHeight="1">
      <c r="B146" s="42">
        <v>45831.0</v>
      </c>
      <c r="C146" s="38" t="s">
        <v>120</v>
      </c>
      <c r="D146" s="39" t="str">
        <f>Envios[Codigo]</f>
        <v>Caja 50 pack 4 lapices</v>
      </c>
      <c r="E146" s="40">
        <f>37*2</f>
        <v>74</v>
      </c>
    </row>
    <row r="147" ht="22.5" customHeight="1">
      <c r="B147" s="42">
        <v>45831.0</v>
      </c>
      <c r="C147" s="38" t="s">
        <v>123</v>
      </c>
      <c r="D147" s="39" t="str">
        <f>Envios[Codigo]</f>
        <v>Caja 25 pack 6 lapices</v>
      </c>
      <c r="E147" s="40">
        <f>53*3</f>
        <v>159</v>
      </c>
    </row>
    <row r="148" ht="22.5" customHeight="1">
      <c r="B148" s="42">
        <v>45831.0</v>
      </c>
      <c r="C148" s="38" t="s">
        <v>108</v>
      </c>
      <c r="D148" s="39" t="str">
        <f>Envios[Codigo]</f>
        <v>75g Gammarus</v>
      </c>
      <c r="E148" s="40">
        <f>200*2</f>
        <v>400</v>
      </c>
    </row>
    <row r="149" ht="22.5" customHeight="1">
      <c r="B149" s="42">
        <v>45831.0</v>
      </c>
      <c r="C149" s="38" t="s">
        <v>103</v>
      </c>
      <c r="D149" s="39" t="str">
        <f>Envios[Codigo]</f>
        <v>200g Menú Junior</v>
      </c>
      <c r="E149" s="40">
        <v>102.0</v>
      </c>
    </row>
    <row r="150" ht="22.5" customHeight="1">
      <c r="B150" s="42">
        <v>45832.0</v>
      </c>
      <c r="C150" s="38" t="s">
        <v>14</v>
      </c>
      <c r="D150" s="39" t="str">
        <f>Envios[Codigo]</f>
        <v>125 Blister 2 euro</v>
      </c>
      <c r="E150" s="40">
        <f>116*3</f>
        <v>348</v>
      </c>
    </row>
    <row r="151" ht="22.5" customHeight="1">
      <c r="B151" s="42">
        <v>45832.0</v>
      </c>
      <c r="C151" s="38" t="s">
        <v>22</v>
      </c>
      <c r="D151" s="39" t="str">
        <f>Envios[Codigo]</f>
        <v>250 pack 1e + 2 e</v>
      </c>
      <c r="E151" s="40">
        <f>68*2</f>
        <v>136</v>
      </c>
    </row>
    <row r="152" ht="22.5" customHeight="1">
      <c r="B152" s="42">
        <v>45832.0</v>
      </c>
      <c r="C152" s="38" t="s">
        <v>5</v>
      </c>
      <c r="D152" s="39" t="str">
        <f>Envios[Codigo]</f>
        <v>Calcio 4 pcs</v>
      </c>
      <c r="E152" s="40" t="s">
        <v>275</v>
      </c>
    </row>
    <row r="153" ht="22.5" customHeight="1">
      <c r="B153" s="42">
        <v>45832.0</v>
      </c>
      <c r="C153" s="38" t="s">
        <v>111</v>
      </c>
      <c r="D153" s="39" t="str">
        <f>Envios[Codigo]</f>
        <v>150g Calcio en polvo</v>
      </c>
      <c r="E153" s="40">
        <v>55.0</v>
      </c>
    </row>
    <row r="154" ht="22.5" customHeight="1">
      <c r="B154" s="42">
        <v>45832.0</v>
      </c>
      <c r="C154" s="38" t="s">
        <v>22</v>
      </c>
      <c r="D154" s="39" t="str">
        <f>Envios[Codigo]</f>
        <v>250 pack 1e + 2 e</v>
      </c>
      <c r="E154" s="40">
        <v>1.0</v>
      </c>
    </row>
    <row r="155" ht="22.5" customHeight="1">
      <c r="B155" s="42">
        <v>45832.0</v>
      </c>
      <c r="C155" s="38" t="s">
        <v>15</v>
      </c>
      <c r="D155" s="39" t="str">
        <f>Envios[Codigo]</f>
        <v>125 Blister 1 euro</v>
      </c>
      <c r="E155" s="40">
        <v>2.0</v>
      </c>
    </row>
    <row r="156" ht="22.5" customHeight="1">
      <c r="B156" s="42">
        <v>45832.0</v>
      </c>
      <c r="C156" s="38" t="s">
        <v>120</v>
      </c>
      <c r="D156" s="39" t="str">
        <f>Envios[Codigo]</f>
        <v>Caja 50 pack 4 lapices</v>
      </c>
      <c r="E156" s="40">
        <v>26.0</v>
      </c>
    </row>
    <row r="157" ht="22.5" customHeight="1">
      <c r="B157" s="42">
        <v>45832.0</v>
      </c>
      <c r="C157" s="38" t="s">
        <v>123</v>
      </c>
      <c r="D157" s="39" t="str">
        <f>Envios[Codigo]</f>
        <v>Caja 25 pack 6 lapices</v>
      </c>
      <c r="E157" s="40">
        <f>25+16</f>
        <v>41</v>
      </c>
    </row>
    <row r="158" ht="22.5" customHeight="1">
      <c r="B158" s="42">
        <v>45832.0</v>
      </c>
      <c r="C158" s="38" t="s">
        <v>7</v>
      </c>
      <c r="D158" s="39" t="str">
        <f>Envios[Codigo]</f>
        <v>Calcio 15 pcs</v>
      </c>
      <c r="E158" s="40">
        <v>14.0</v>
      </c>
    </row>
    <row r="159" ht="22.5" customHeight="1">
      <c r="B159" s="42">
        <v>45832.0</v>
      </c>
      <c r="C159" s="38" t="s">
        <v>5</v>
      </c>
      <c r="D159" s="39" t="str">
        <f>Envios[Codigo]</f>
        <v>Calcio 4 pcs</v>
      </c>
      <c r="E159" s="40" t="s">
        <v>275</v>
      </c>
    </row>
    <row r="160" ht="22.5" customHeight="1">
      <c r="B160" s="42">
        <v>45832.0</v>
      </c>
      <c r="C160" s="38" t="s">
        <v>6</v>
      </c>
      <c r="D160" s="39" t="str">
        <f>Envios[Codigo]</f>
        <v>Calcio 8 pcs</v>
      </c>
      <c r="E160" s="40" t="s">
        <v>275</v>
      </c>
    </row>
    <row r="161" ht="22.5" customHeight="1">
      <c r="B161" s="42">
        <v>45832.0</v>
      </c>
      <c r="C161" s="38" t="s">
        <v>118</v>
      </c>
      <c r="D161" s="39" t="str">
        <f>Envios[Codigo]</f>
        <v>Pack 126 ceras</v>
      </c>
      <c r="E161" s="40">
        <f>24*3</f>
        <v>72</v>
      </c>
    </row>
    <row r="162" ht="22.5" customHeight="1">
      <c r="B162" s="40" t="s">
        <v>155</v>
      </c>
      <c r="C162" s="38" t="s">
        <v>24</v>
      </c>
      <c r="D162" s="39" t="str">
        <f>Envios[Codigo]</f>
        <v>200 Mix blister</v>
      </c>
      <c r="E162" s="40">
        <v>4.0</v>
      </c>
    </row>
    <row r="163" ht="22.5" customHeight="1">
      <c r="B163" s="40" t="s">
        <v>155</v>
      </c>
      <c r="C163" s="38" t="s">
        <v>35</v>
      </c>
      <c r="D163" s="39" t="str">
        <f>Envios[Codigo]</f>
        <v>Set Flexi Vox (transparente)</v>
      </c>
      <c r="E163" s="40">
        <v>-2.0</v>
      </c>
    </row>
    <row r="164" ht="22.5" customHeight="1">
      <c r="B164" s="42">
        <v>45839.0</v>
      </c>
      <c r="C164" s="38" t="s">
        <v>21</v>
      </c>
      <c r="D164" s="39" t="str">
        <f>Envios[Codigo]</f>
        <v>125 Blister 1 cts</v>
      </c>
      <c r="E164" s="40">
        <v>84.0</v>
      </c>
    </row>
    <row r="165" ht="22.5" customHeight="1">
      <c r="B165" s="42">
        <v>45839.0</v>
      </c>
      <c r="C165" s="38" t="s">
        <v>20</v>
      </c>
      <c r="D165" s="39" t="str">
        <f>Envios[Codigo]</f>
        <v>125 Blister 2 cts</v>
      </c>
      <c r="E165" s="40">
        <v>6.0</v>
      </c>
    </row>
    <row r="166" ht="22.5" customHeight="1">
      <c r="B166" s="42">
        <v>45839.0</v>
      </c>
      <c r="C166" s="38" t="s">
        <v>19</v>
      </c>
      <c r="D166" s="39" t="str">
        <f>Envios[Codigo]</f>
        <v>125 Blister 5 cts</v>
      </c>
      <c r="E166" s="40">
        <v>10.0</v>
      </c>
    </row>
    <row r="167" ht="22.5" customHeight="1">
      <c r="B167" s="42">
        <v>45839.0</v>
      </c>
      <c r="C167" s="38" t="s">
        <v>22</v>
      </c>
      <c r="D167" s="39" t="str">
        <f>Envios[Codigo]</f>
        <v>250 pack 1e + 2 e</v>
      </c>
      <c r="E167" s="40">
        <f>68*2-2</f>
        <v>134</v>
      </c>
    </row>
    <row r="168" ht="22.5" customHeight="1">
      <c r="B168" s="42">
        <v>45839.0</v>
      </c>
      <c r="C168" s="38" t="s">
        <v>16</v>
      </c>
      <c r="D168" s="39" t="str">
        <f>Envios[Codigo]</f>
        <v>125 Blister 50 cts</v>
      </c>
      <c r="E168" s="40">
        <v>116.0</v>
      </c>
    </row>
    <row r="169" ht="22.5" customHeight="1">
      <c r="B169" s="42">
        <v>45839.0</v>
      </c>
      <c r="C169" s="38" t="s">
        <v>17</v>
      </c>
      <c r="D169" s="39" t="str">
        <f>Envios[Codigo]</f>
        <v>125 Blister 20 cts</v>
      </c>
      <c r="E169" s="40">
        <v>144.0</v>
      </c>
    </row>
    <row r="170" ht="22.5" customHeight="1">
      <c r="B170" s="42">
        <v>45839.0</v>
      </c>
      <c r="C170" s="38" t="s">
        <v>18</v>
      </c>
      <c r="D170" s="39" t="str">
        <f>Envios[Codigo]</f>
        <v>125 Blister 10 cts</v>
      </c>
      <c r="E170" s="40">
        <v>84.0</v>
      </c>
    </row>
    <row r="171" ht="22.5" customHeight="1">
      <c r="B171" s="42">
        <v>45839.0</v>
      </c>
      <c r="C171" s="38" t="s">
        <v>20</v>
      </c>
      <c r="D171" s="39" t="str">
        <f>Envios[Codigo]</f>
        <v>125 Blister 2 cts</v>
      </c>
      <c r="E171" s="40">
        <v>116.0</v>
      </c>
    </row>
    <row r="172" ht="22.5" customHeight="1">
      <c r="B172" s="42">
        <v>45839.0</v>
      </c>
      <c r="C172" s="38" t="s">
        <v>103</v>
      </c>
      <c r="D172" s="39" t="str">
        <f>Envios[Codigo]</f>
        <v>200g Menú Junior</v>
      </c>
      <c r="E172" s="40">
        <f>100+102</f>
        <v>202</v>
      </c>
    </row>
    <row r="173" ht="22.5" customHeight="1">
      <c r="B173" s="42">
        <v>45839.0</v>
      </c>
      <c r="C173" s="38" t="s">
        <v>18</v>
      </c>
      <c r="D173" s="39" t="str">
        <f>Envios[Codigo]</f>
        <v>125 Blister 10 cts</v>
      </c>
      <c r="E173" s="40">
        <v>19.0</v>
      </c>
    </row>
    <row r="174" ht="22.5" customHeight="1">
      <c r="B174" s="42">
        <v>45839.0</v>
      </c>
      <c r="C174" s="38" t="s">
        <v>118</v>
      </c>
      <c r="D174" s="39" t="str">
        <f>Envios[Codigo]</f>
        <v>Pack 126 ceras</v>
      </c>
      <c r="E174" s="40">
        <v>7.0</v>
      </c>
    </row>
    <row r="175" ht="22.5" customHeight="1">
      <c r="B175" s="42">
        <v>45839.0</v>
      </c>
      <c r="C175" s="38" t="s">
        <v>108</v>
      </c>
      <c r="D175" s="39" t="str">
        <f>Envios[Codigo]</f>
        <v>75g Gammarus</v>
      </c>
      <c r="E175" s="40">
        <v>35.0</v>
      </c>
    </row>
    <row r="176" ht="22.5" customHeight="1">
      <c r="B176" s="42">
        <v>45839.0</v>
      </c>
      <c r="C176" s="38" t="s">
        <v>217</v>
      </c>
      <c r="D176" s="39" t="str">
        <f>Envios[Codigo]</f>
        <v>400 Mix blister</v>
      </c>
      <c r="E176" s="40">
        <v>13.0</v>
      </c>
    </row>
    <row r="177" ht="22.5" customHeight="1">
      <c r="B177" s="42">
        <v>45839.0</v>
      </c>
      <c r="C177" s="38" t="s">
        <v>126</v>
      </c>
      <c r="D177" s="39" t="str">
        <f>Envios[Codigo]</f>
        <v>Menu grande</v>
      </c>
      <c r="E177" s="40">
        <f>16*3</f>
        <v>48</v>
      </c>
    </row>
    <row r="178" ht="22.5" customHeight="1">
      <c r="B178" s="42">
        <v>45852.0</v>
      </c>
      <c r="C178" s="38" t="s">
        <v>15</v>
      </c>
      <c r="D178" s="39" t="str">
        <f>Envios[Codigo]</f>
        <v>125 Blister 1 euro</v>
      </c>
      <c r="E178" s="40">
        <v>1.0</v>
      </c>
    </row>
    <row r="179" ht="22.5" customHeight="1">
      <c r="B179" s="42">
        <v>45852.0</v>
      </c>
      <c r="C179" s="38" t="s">
        <v>14</v>
      </c>
      <c r="D179" s="39" t="str">
        <f>Envios[Codigo]</f>
        <v>125 Blister 2 euro</v>
      </c>
      <c r="E179" s="40">
        <v>2.0</v>
      </c>
    </row>
    <row r="180" ht="22.5" customHeight="1">
      <c r="B180" s="42">
        <v>45852.0</v>
      </c>
      <c r="C180" s="38" t="s">
        <v>23</v>
      </c>
      <c r="D180" s="39" t="str">
        <f>Envios[Codigo]</f>
        <v>250 Blister 1e</v>
      </c>
      <c r="E180" s="40">
        <v>1.0</v>
      </c>
    </row>
    <row r="181" ht="22.5" customHeight="1">
      <c r="B181" s="42">
        <v>45855.0</v>
      </c>
      <c r="C181" s="38" t="s">
        <v>137</v>
      </c>
      <c r="D181" s="39" t="str">
        <f>Envios[Codigo]</f>
        <v>800g Gusanos de la harina</v>
      </c>
      <c r="E181" s="40">
        <f>24*2</f>
        <v>48</v>
      </c>
    </row>
    <row r="182" ht="22.5" customHeight="1">
      <c r="B182" s="42">
        <v>45855.0</v>
      </c>
      <c r="C182" s="38" t="s">
        <v>126</v>
      </c>
      <c r="D182" s="39" t="str">
        <f>Envios[Codigo]</f>
        <v>Menu grande</v>
      </c>
      <c r="E182" s="40">
        <f>15*6+1</f>
        <v>91</v>
      </c>
    </row>
    <row r="183" ht="22.5" customHeight="1">
      <c r="B183" s="42">
        <v>45860.0</v>
      </c>
      <c r="C183" s="38" t="s">
        <v>123</v>
      </c>
      <c r="D183" s="39" t="str">
        <f>Envios[Codigo]</f>
        <v>Caja 25 pack 6 lapices</v>
      </c>
      <c r="E183" s="40">
        <f>53+52+53</f>
        <v>158</v>
      </c>
    </row>
    <row r="184" ht="22.5" customHeight="1">
      <c r="B184" s="42">
        <v>45860.0</v>
      </c>
      <c r="C184" s="38" t="s">
        <v>126</v>
      </c>
      <c r="D184" s="39" t="str">
        <f>Envios[Codigo]</f>
        <v>Menu grande</v>
      </c>
      <c r="E184" s="40">
        <v>15.0</v>
      </c>
    </row>
    <row r="185" ht="22.5" customHeight="1">
      <c r="B185" s="42">
        <v>45861.0</v>
      </c>
      <c r="C185" s="38" t="s">
        <v>137</v>
      </c>
      <c r="D185" s="39" t="str">
        <f>Envios[Codigo]</f>
        <v>800g Gusanos de la harina</v>
      </c>
      <c r="E185" s="40">
        <f>24*4</f>
        <v>96</v>
      </c>
    </row>
    <row r="186" ht="22.5" customHeight="1">
      <c r="B186" s="42">
        <v>45861.0</v>
      </c>
      <c r="C186" s="38" t="s">
        <v>126</v>
      </c>
      <c r="D186" s="39" t="str">
        <f>Envios[Codigo]</f>
        <v>Menu grande</v>
      </c>
      <c r="E186" s="40">
        <v>16.0</v>
      </c>
    </row>
    <row r="187" ht="22.5" customHeight="1">
      <c r="B187" s="42">
        <v>45861.0</v>
      </c>
      <c r="C187" s="38" t="s">
        <v>22</v>
      </c>
      <c r="D187" s="39" t="str">
        <f>Envios[Codigo]</f>
        <v>250 pack 1e + 2 e</v>
      </c>
      <c r="E187" s="40">
        <f>66+65</f>
        <v>131</v>
      </c>
    </row>
    <row r="188" ht="22.5" customHeight="1">
      <c r="B188" s="42">
        <v>45861.0</v>
      </c>
      <c r="C188" s="38" t="s">
        <v>217</v>
      </c>
      <c r="D188" s="39" t="str">
        <f>Envios[Codigo]</f>
        <v>400 Mix blister</v>
      </c>
      <c r="E188" s="40">
        <f>35*3</f>
        <v>105</v>
      </c>
    </row>
    <row r="189" ht="22.5" customHeight="1">
      <c r="B189" s="42">
        <v>45861.0</v>
      </c>
      <c r="C189" s="38" t="s">
        <v>24</v>
      </c>
      <c r="D189" s="39" t="str">
        <f>Envios[Codigo]</f>
        <v>200 Mix blister</v>
      </c>
      <c r="E189" s="40">
        <f>66*4</f>
        <v>264</v>
      </c>
    </row>
    <row r="190" ht="22.5" customHeight="1">
      <c r="B190" s="42">
        <v>45861.0</v>
      </c>
      <c r="C190" s="38" t="s">
        <v>35</v>
      </c>
      <c r="D190" s="39" t="str">
        <f>Envios[Codigo]</f>
        <v>Set Flexi Vox (transparente)</v>
      </c>
      <c r="E190" s="40">
        <v>130.0</v>
      </c>
    </row>
    <row r="191" ht="22.5" customHeight="1">
      <c r="B191" s="42">
        <v>45861.0</v>
      </c>
      <c r="C191" s="38" t="s">
        <v>123</v>
      </c>
      <c r="D191" s="39" t="str">
        <f>Envios[Codigo]</f>
        <v>Caja 25 pack 6 lapices</v>
      </c>
      <c r="E191" s="40">
        <v>40.0</v>
      </c>
    </row>
    <row r="192" ht="22.5" customHeight="1">
      <c r="B192" s="42">
        <v>45862.0</v>
      </c>
      <c r="C192" s="38" t="s">
        <v>108</v>
      </c>
      <c r="D192" s="39" t="str">
        <f>Envios[Codigo]</f>
        <v>75g Gammarus</v>
      </c>
      <c r="E192" s="40">
        <v>400.0</v>
      </c>
    </row>
    <row r="193" ht="22.5" customHeight="1">
      <c r="B193" s="42">
        <v>45862.0</v>
      </c>
      <c r="C193" s="38" t="s">
        <v>14</v>
      </c>
      <c r="D193" s="39" t="str">
        <f>Envios[Codigo]</f>
        <v>125 Blister 2 euro</v>
      </c>
      <c r="E193" s="40">
        <f>114+116+116</f>
        <v>346</v>
      </c>
    </row>
    <row r="194" ht="22.5" customHeight="1">
      <c r="B194" s="42">
        <v>45862.0</v>
      </c>
      <c r="C194" s="38" t="s">
        <v>15</v>
      </c>
      <c r="D194" s="39" t="str">
        <f>Envios[Codigo]</f>
        <v>125 Blister 1 euro</v>
      </c>
      <c r="E194" s="40">
        <f>123+120+120</f>
        <v>363</v>
      </c>
    </row>
    <row r="195" ht="22.5" customHeight="1">
      <c r="B195" s="42">
        <v>45862.0</v>
      </c>
      <c r="C195" s="38" t="s">
        <v>35</v>
      </c>
      <c r="D195" s="39" t="str">
        <f>Envios[Codigo]</f>
        <v>Set Flexi Vox (transparente)</v>
      </c>
      <c r="E195" s="40">
        <v>81.0</v>
      </c>
    </row>
    <row r="196" ht="22.5" customHeight="1">
      <c r="B196" s="42">
        <v>45862.0</v>
      </c>
      <c r="C196" s="38" t="s">
        <v>19</v>
      </c>
      <c r="D196" s="39" t="str">
        <f>Envios[Codigo]</f>
        <v>125 Blister 5 cts</v>
      </c>
      <c r="E196" s="40">
        <v>92.0</v>
      </c>
    </row>
    <row r="197" ht="22.5" customHeight="1">
      <c r="B197" s="42">
        <v>45863.0</v>
      </c>
      <c r="C197" s="38" t="s">
        <v>217</v>
      </c>
      <c r="D197" s="39" t="str">
        <f>Envios[Codigo]</f>
        <v>400 Mix blister</v>
      </c>
      <c r="E197" s="40">
        <v>35.0</v>
      </c>
    </row>
    <row r="198" ht="22.5" customHeight="1">
      <c r="B198" s="42">
        <v>45863.0</v>
      </c>
      <c r="C198" s="38" t="s">
        <v>217</v>
      </c>
      <c r="D198" s="39" t="str">
        <f>Envios[Codigo]</f>
        <v>400 Mix blister</v>
      </c>
      <c r="E198" s="40">
        <v>35.0</v>
      </c>
    </row>
    <row r="199" ht="22.5" customHeight="1">
      <c r="B199" s="42">
        <v>45863.0</v>
      </c>
      <c r="C199" s="38" t="s">
        <v>23</v>
      </c>
      <c r="D199" s="39" t="str">
        <f>Envios[Codigo]</f>
        <v>250 Blister 1e</v>
      </c>
      <c r="E199" s="40">
        <v>69.0</v>
      </c>
    </row>
    <row r="200" ht="22.5" customHeight="1">
      <c r="B200" s="42">
        <v>45863.0</v>
      </c>
      <c r="C200" s="38" t="s">
        <v>23</v>
      </c>
      <c r="D200" s="39" t="str">
        <f>Envios[Codigo]</f>
        <v>250 Blister 1e</v>
      </c>
      <c r="E200" s="40">
        <v>70.0</v>
      </c>
    </row>
    <row r="201" ht="22.5" customHeight="1">
      <c r="B201" s="42">
        <v>45863.0</v>
      </c>
      <c r="C201" s="38" t="s">
        <v>120</v>
      </c>
      <c r="D201" s="39" t="str">
        <f>Envios[Codigo]</f>
        <v>Caja 50 pack 4 lapices</v>
      </c>
      <c r="E201" s="40">
        <v>36.0</v>
      </c>
    </row>
    <row r="202" ht="22.5" customHeight="1">
      <c r="B202" s="42">
        <v>45863.0</v>
      </c>
      <c r="C202" s="38" t="s">
        <v>120</v>
      </c>
      <c r="D202" s="39" t="str">
        <f>Envios[Codigo]</f>
        <v>Caja 50 pack 4 lapices</v>
      </c>
      <c r="E202" s="40">
        <v>37.0</v>
      </c>
    </row>
    <row r="203" ht="22.5" customHeight="1">
      <c r="B203" s="42">
        <v>45867.0</v>
      </c>
      <c r="C203" s="38" t="s">
        <v>217</v>
      </c>
      <c r="D203" s="39" t="str">
        <f>Envios[Codigo]</f>
        <v>400 Mix blister</v>
      </c>
      <c r="E203" s="40">
        <v>34.0</v>
      </c>
    </row>
    <row r="204" ht="22.5" customHeight="1">
      <c r="B204" s="42">
        <v>45867.0</v>
      </c>
      <c r="C204" s="38" t="s">
        <v>26</v>
      </c>
      <c r="D204" s="39" t="str">
        <f>Envios[Codigo]</f>
        <v>Peonza pack tradi (52mm)</v>
      </c>
      <c r="E204" s="40">
        <v>118.0</v>
      </c>
    </row>
    <row r="205" ht="22.5" customHeight="1">
      <c r="B205" s="42">
        <v>45867.0</v>
      </c>
      <c r="C205" s="38" t="s">
        <v>26</v>
      </c>
      <c r="D205" s="39" t="str">
        <f>Envios[Codigo]</f>
        <v>Peonza pack tradi (52mm)</v>
      </c>
      <c r="E205" s="40">
        <v>116.0</v>
      </c>
    </row>
    <row r="206" ht="22.5" customHeight="1">
      <c r="B206" s="42">
        <v>45867.0</v>
      </c>
      <c r="C206" s="38" t="s">
        <v>26</v>
      </c>
      <c r="D206" s="39" t="str">
        <f>Envios[Codigo]</f>
        <v>Peonza pack tradi (52mm)</v>
      </c>
      <c r="E206" s="40">
        <v>115.0</v>
      </c>
    </row>
    <row r="207" ht="22.5" customHeight="1">
      <c r="B207" s="42">
        <v>45867.0</v>
      </c>
      <c r="C207" s="38" t="s">
        <v>22</v>
      </c>
      <c r="D207" s="39" t="str">
        <f>Envios[Codigo]</f>
        <v>250 pack 1e + 2 e</v>
      </c>
      <c r="E207" s="40">
        <v>65.0</v>
      </c>
    </row>
    <row r="208" ht="22.5" customHeight="1">
      <c r="B208" s="42">
        <v>45867.0</v>
      </c>
      <c r="C208" s="38" t="s">
        <v>23</v>
      </c>
      <c r="D208" s="39" t="str">
        <f>Envios[Codigo]</f>
        <v>250 Blister 1e</v>
      </c>
      <c r="E208" s="40">
        <v>69.0</v>
      </c>
    </row>
    <row r="209" ht="22.5" customHeight="1">
      <c r="B209" s="42">
        <v>45867.0</v>
      </c>
      <c r="C209" s="38" t="s">
        <v>24</v>
      </c>
      <c r="D209" s="39" t="str">
        <f>Envios[Codigo]</f>
        <v>200 Mix blister</v>
      </c>
      <c r="E209" s="40">
        <v>66.0</v>
      </c>
    </row>
    <row r="210" ht="22.5" customHeight="1">
      <c r="B210" s="42">
        <v>45867.0</v>
      </c>
      <c r="C210" s="38" t="s">
        <v>24</v>
      </c>
      <c r="D210" s="39" t="str">
        <f>Envios[Codigo]</f>
        <v>200 Mix blister</v>
      </c>
      <c r="E210" s="40">
        <v>66.0</v>
      </c>
    </row>
    <row r="211" ht="22.5" customHeight="1">
      <c r="B211" s="42">
        <v>45870.0</v>
      </c>
      <c r="C211" s="38" t="s">
        <v>126</v>
      </c>
      <c r="D211" s="39" t="str">
        <f>Envios[Codigo]</f>
        <v>Menu grande</v>
      </c>
      <c r="E211" s="40">
        <f>18*4</f>
        <v>72</v>
      </c>
    </row>
    <row r="212" ht="22.5" customHeight="1">
      <c r="B212" s="42">
        <v>45870.0</v>
      </c>
      <c r="C212" s="38" t="s">
        <v>137</v>
      </c>
      <c r="D212" s="39" t="str">
        <f>Envios[Codigo]</f>
        <v>800g Gusanos de la harina</v>
      </c>
      <c r="E212" s="40">
        <v>90.0</v>
      </c>
    </row>
    <row r="213" ht="22.5" customHeight="1">
      <c r="B213" s="42">
        <v>45870.0</v>
      </c>
      <c r="C213" s="38" t="s">
        <v>5</v>
      </c>
      <c r="D213" s="39" t="str">
        <f>Envios[Codigo]</f>
        <v>Calcio 4 pcs</v>
      </c>
      <c r="E213" s="40">
        <v>600.0</v>
      </c>
    </row>
    <row r="214" ht="22.5" customHeight="1">
      <c r="B214" s="42">
        <v>45870.0</v>
      </c>
      <c r="C214" s="38" t="s">
        <v>6</v>
      </c>
      <c r="D214" s="39" t="str">
        <f>Envios[Codigo]</f>
        <v>Calcio 8 pcs</v>
      </c>
      <c r="E214" s="40">
        <v>300.0</v>
      </c>
    </row>
    <row r="215" ht="22.5" customHeight="1">
      <c r="B215" s="42">
        <v>45874.0</v>
      </c>
      <c r="C215" s="38" t="s">
        <v>108</v>
      </c>
      <c r="D215" s="39" t="str">
        <f>Envios[Codigo]</f>
        <v>75g Gammarus</v>
      </c>
      <c r="E215" s="40">
        <v>184.0</v>
      </c>
    </row>
    <row r="216" ht="22.5" customHeight="1">
      <c r="B216" s="42">
        <v>45874.0</v>
      </c>
      <c r="C216" s="38" t="s">
        <v>137</v>
      </c>
      <c r="D216" s="39" t="str">
        <f>Envios[Codigo]</f>
        <v>800g Gusanos de la harina</v>
      </c>
      <c r="E216" s="40">
        <v>30.0</v>
      </c>
    </row>
    <row r="217" ht="22.5" customHeight="1">
      <c r="B217" s="42">
        <v>45874.0</v>
      </c>
      <c r="C217" s="38" t="s">
        <v>126</v>
      </c>
      <c r="D217" s="39" t="str">
        <f>Envios[Codigo]</f>
        <v>Menu grande</v>
      </c>
      <c r="E217" s="40">
        <v>12.0</v>
      </c>
    </row>
    <row r="218" ht="22.5" customHeight="1">
      <c r="B218" s="42">
        <v>45874.0</v>
      </c>
      <c r="C218" s="38" t="s">
        <v>16</v>
      </c>
      <c r="D218" s="39" t="str">
        <f>Envios[Codigo]</f>
        <v>125 Blister 50 cts</v>
      </c>
      <c r="E218" s="40">
        <v>100.0</v>
      </c>
    </row>
    <row r="219" ht="22.5" customHeight="1">
      <c r="B219" s="42">
        <v>45874.0</v>
      </c>
      <c r="C219" s="38" t="s">
        <v>18</v>
      </c>
      <c r="D219" s="39" t="str">
        <f>Envios[Codigo]</f>
        <v>125 Blister 10 cts</v>
      </c>
      <c r="E219" s="40">
        <v>16.0</v>
      </c>
    </row>
    <row r="220" ht="22.5" customHeight="1">
      <c r="B220" s="42">
        <v>45875.0</v>
      </c>
      <c r="C220" s="38" t="s">
        <v>126</v>
      </c>
      <c r="D220" s="39" t="str">
        <f>Envios[Codigo]</f>
        <v>Menu grande</v>
      </c>
      <c r="E220" s="40"/>
    </row>
    <row r="221" ht="22.5" customHeight="1">
      <c r="B221" s="42">
        <v>45875.0</v>
      </c>
      <c r="C221" s="38" t="s">
        <v>111</v>
      </c>
      <c r="D221" s="39" t="str">
        <f>Envios[Codigo]</f>
        <v>150g Calcio en polvo</v>
      </c>
      <c r="E221" s="40">
        <f>134+137</f>
        <v>271</v>
      </c>
    </row>
    <row r="222" ht="22.5" customHeight="1">
      <c r="B222" s="42">
        <v>45875.0</v>
      </c>
      <c r="C222" s="38" t="s">
        <v>103</v>
      </c>
      <c r="D222" s="39" t="str">
        <f>Envios[Codigo]</f>
        <v>200g Menú Junior</v>
      </c>
      <c r="E222" s="40">
        <f>103+104+103</f>
        <v>310</v>
      </c>
    </row>
    <row r="223" ht="22.5" customHeight="1">
      <c r="B223" s="42">
        <v>45875.0</v>
      </c>
      <c r="C223" s="38" t="s">
        <v>32</v>
      </c>
      <c r="D223" s="39" t="str">
        <f>Envios[Codigo]</f>
        <v>Solo tubo Flexi Vox (transparente)</v>
      </c>
      <c r="E223" s="40">
        <v>200.0</v>
      </c>
    </row>
    <row r="224" ht="22.5" customHeight="1">
      <c r="B224" s="42">
        <v>45875.0</v>
      </c>
      <c r="C224" s="38" t="s">
        <v>33</v>
      </c>
      <c r="D224" s="39" t="str">
        <f>Envios[Codigo]</f>
        <v>Solo tubo Flexi Vox (rojo)</v>
      </c>
      <c r="E224" s="40">
        <v>100.0</v>
      </c>
    </row>
    <row r="225" ht="22.5" customHeight="1">
      <c r="B225" s="42">
        <v>45875.0</v>
      </c>
      <c r="C225" s="38" t="s">
        <v>126</v>
      </c>
      <c r="D225" s="39" t="str">
        <f>Envios[Codigo]</f>
        <v>Menu grande</v>
      </c>
      <c r="E225" s="40">
        <v>198.0</v>
      </c>
    </row>
    <row r="226" ht="22.5" customHeight="1">
      <c r="B226" s="42">
        <v>45888.0</v>
      </c>
      <c r="C226" s="38" t="s">
        <v>24</v>
      </c>
      <c r="D226" s="39" t="str">
        <f>Envios[Codigo]</f>
        <v>200 Mix blister</v>
      </c>
      <c r="E226" s="40">
        <f>66*4</f>
        <v>264</v>
      </c>
    </row>
    <row r="227" ht="22.5" customHeight="1">
      <c r="B227" s="42">
        <v>45888.0</v>
      </c>
      <c r="C227" s="38" t="s">
        <v>26</v>
      </c>
      <c r="D227" s="39" t="str">
        <f>Envios[Codigo]</f>
        <v>Peonza pack tradi (52mm)</v>
      </c>
      <c r="E227" s="40">
        <v>94.0</v>
      </c>
    </row>
    <row r="228" ht="22.5" customHeight="1">
      <c r="B228" s="42">
        <v>45888.0</v>
      </c>
      <c r="C228" s="38" t="s">
        <v>14</v>
      </c>
      <c r="D228" s="39" t="str">
        <f>Envios[Codigo]</f>
        <v>125 Blister 2 euro</v>
      </c>
      <c r="E228" s="40">
        <f>116*4</f>
        <v>464</v>
      </c>
    </row>
    <row r="229" ht="22.5" customHeight="1">
      <c r="B229" s="42">
        <v>45888.0</v>
      </c>
      <c r="C229" s="38" t="s">
        <v>22</v>
      </c>
      <c r="D229" s="39" t="str">
        <f>Envios[Codigo]</f>
        <v>250 pack 1e + 2 e</v>
      </c>
      <c r="E229" s="40">
        <f>66*2+65*2</f>
        <v>262</v>
      </c>
    </row>
    <row r="230" ht="22.5" customHeight="1">
      <c r="B230" s="42">
        <v>45888.0</v>
      </c>
      <c r="C230" s="38" t="s">
        <v>19</v>
      </c>
      <c r="D230" s="39" t="str">
        <f>Envios[Codigo]</f>
        <v>125 Blister 5 cts</v>
      </c>
      <c r="E230" s="40">
        <v>84.0</v>
      </c>
    </row>
    <row r="231" ht="22.5" customHeight="1">
      <c r="B231" s="42">
        <v>45888.0</v>
      </c>
      <c r="C231" s="38" t="s">
        <v>18</v>
      </c>
      <c r="D231" s="39" t="str">
        <f>Envios[Codigo]</f>
        <v>125 Blister 10 cts</v>
      </c>
      <c r="E231" s="40">
        <v>12.0</v>
      </c>
    </row>
    <row r="232" ht="22.5" customHeight="1">
      <c r="B232" s="42">
        <v>45888.0</v>
      </c>
      <c r="C232" s="38" t="s">
        <v>126</v>
      </c>
      <c r="D232" s="39" t="str">
        <f>Envios[Codigo]</f>
        <v>Menu grande</v>
      </c>
      <c r="E232" s="40">
        <f>18*12</f>
        <v>216</v>
      </c>
    </row>
    <row r="233" ht="22.5" customHeight="1">
      <c r="B233" s="42">
        <v>45888.0</v>
      </c>
      <c r="C233" s="38" t="s">
        <v>21</v>
      </c>
      <c r="D233" s="39" t="str">
        <f>Envios[Codigo]</f>
        <v>125 Blister 1 cts</v>
      </c>
      <c r="E233" s="40">
        <v>96.0</v>
      </c>
    </row>
    <row r="234" ht="22.5" customHeight="1">
      <c r="B234" s="42">
        <v>45889.0</v>
      </c>
      <c r="C234" s="38" t="s">
        <v>137</v>
      </c>
      <c r="D234" s="39" t="str">
        <f>Envios[Codigo]</f>
        <v>800g Gusanos de la harina</v>
      </c>
      <c r="E234" s="40">
        <f>32*2+30*5</f>
        <v>214</v>
      </c>
    </row>
    <row r="235" ht="22.5" customHeight="1">
      <c r="B235" s="42">
        <v>45889.0</v>
      </c>
      <c r="C235" s="38" t="s">
        <v>103</v>
      </c>
      <c r="D235" s="39" t="str">
        <f>Envios[Codigo]</f>
        <v>200g Menú Junior</v>
      </c>
      <c r="E235" s="40">
        <f>102*5+80</f>
        <v>590</v>
      </c>
    </row>
    <row r="236" ht="22.5" customHeight="1">
      <c r="B236" s="42">
        <v>45890.0</v>
      </c>
      <c r="C236" s="38" t="s">
        <v>108</v>
      </c>
      <c r="D236" s="39" t="str">
        <f>Envios[Codigo]</f>
        <v>75g Gammarus</v>
      </c>
      <c r="E236" s="40">
        <f>220+200+175</f>
        <v>595</v>
      </c>
    </row>
    <row r="237" ht="22.5" customHeight="1">
      <c r="B237" s="42">
        <v>45891.0</v>
      </c>
      <c r="C237" s="38" t="s">
        <v>5</v>
      </c>
      <c r="D237" s="39" t="str">
        <f>Envios[Codigo]</f>
        <v>Calcio 4 pcs</v>
      </c>
      <c r="E237" s="40">
        <f>425+75</f>
        <v>500</v>
      </c>
    </row>
    <row r="238" ht="22.5" customHeight="1">
      <c r="B238" s="42">
        <v>45891.0</v>
      </c>
      <c r="C238" s="38" t="s">
        <v>6</v>
      </c>
      <c r="D238" s="39" t="str">
        <f>Envios[Codigo]</f>
        <v>Calcio 8 pcs</v>
      </c>
      <c r="E238" s="40">
        <f>230+70</f>
        <v>300</v>
      </c>
    </row>
    <row r="239" ht="22.5" customHeight="1">
      <c r="B239" s="42">
        <v>45891.0</v>
      </c>
      <c r="C239" s="38" t="s">
        <v>7</v>
      </c>
      <c r="D239" s="39" t="str">
        <f>Envios[Codigo]</f>
        <v>Calcio 15 pcs</v>
      </c>
      <c r="E239" s="40">
        <f>132+132</f>
        <v>264</v>
      </c>
    </row>
    <row r="240" ht="22.5" customHeight="1">
      <c r="B240" s="42">
        <v>45891.0</v>
      </c>
      <c r="C240" s="38" t="s">
        <v>111</v>
      </c>
      <c r="D240" s="39" t="str">
        <f>Envios[Codigo]</f>
        <v>150g Calcio en polvo</v>
      </c>
      <c r="E240" s="40">
        <v>30.0</v>
      </c>
    </row>
    <row r="241" ht="22.5" customHeight="1">
      <c r="B241" s="42">
        <v>45895.0</v>
      </c>
      <c r="C241" s="38" t="s">
        <v>118</v>
      </c>
      <c r="D241" s="39" t="str">
        <f>Envios[Codigo]</f>
        <v>Pack 126 ceras</v>
      </c>
      <c r="E241" s="40">
        <f>5*24</f>
        <v>120</v>
      </c>
    </row>
    <row r="242" ht="22.5" customHeight="1">
      <c r="B242" s="42">
        <v>45895.0</v>
      </c>
      <c r="C242" s="38" t="s">
        <v>15</v>
      </c>
      <c r="D242" s="39" t="str">
        <f>Envios[Codigo]</f>
        <v>125 Blister 1 euro</v>
      </c>
      <c r="E242" s="40">
        <v>124.0</v>
      </c>
    </row>
    <row r="243" ht="22.5" customHeight="1">
      <c r="B243" s="42">
        <v>45896.0</v>
      </c>
      <c r="C243" s="38" t="s">
        <v>137</v>
      </c>
      <c r="D243" s="39" t="str">
        <f>Envios[Codigo]</f>
        <v>800g Gusanos de la harina</v>
      </c>
      <c r="E243" s="40">
        <f>21*4+21*11</f>
        <v>315</v>
      </c>
    </row>
    <row r="244" ht="22.5" customHeight="1">
      <c r="B244" s="42">
        <v>45898.0</v>
      </c>
      <c r="C244" s="38" t="s">
        <v>24</v>
      </c>
      <c r="D244" s="39" t="str">
        <f>Envios[Codigo]</f>
        <v>200 Mix blister</v>
      </c>
      <c r="E244" s="40">
        <f>66*2+64</f>
        <v>196</v>
      </c>
    </row>
    <row r="245" ht="22.5" customHeight="1">
      <c r="B245" s="42">
        <v>45898.0</v>
      </c>
      <c r="C245" s="38" t="s">
        <v>118</v>
      </c>
      <c r="D245" s="39" t="str">
        <f>Envios[Codigo]</f>
        <v>Pack 126 ceras</v>
      </c>
      <c r="E245" s="40">
        <f>24*4</f>
        <v>96</v>
      </c>
    </row>
    <row r="246" ht="22.5" customHeight="1">
      <c r="B246" s="42">
        <v>45898.0</v>
      </c>
      <c r="C246" s="38" t="s">
        <v>111</v>
      </c>
      <c r="D246" s="39" t="str">
        <f>Envios[Codigo]</f>
        <v>150g Calcio en polvo</v>
      </c>
      <c r="E246" s="40">
        <f>136*2</f>
        <v>272</v>
      </c>
    </row>
    <row r="247" ht="22.5" customHeight="1">
      <c r="B247" s="42">
        <v>45898.0</v>
      </c>
      <c r="C247" s="38" t="s">
        <v>217</v>
      </c>
      <c r="D247" s="39" t="str">
        <f>Envios[Codigo]</f>
        <v>400 Mix blister</v>
      </c>
      <c r="E247" s="40">
        <v>34.0</v>
      </c>
    </row>
    <row r="248" ht="22.5" customHeight="1">
      <c r="B248" s="42">
        <v>45902.0</v>
      </c>
      <c r="C248" s="38" t="s">
        <v>22</v>
      </c>
      <c r="D248" s="39" t="str">
        <f>Envios[Codigo]</f>
        <v>250 pack 1e + 2 e</v>
      </c>
      <c r="E248" s="40">
        <v>66.0</v>
      </c>
    </row>
    <row r="249" ht="22.5" customHeight="1">
      <c r="B249" s="42">
        <v>45902.0</v>
      </c>
      <c r="C249" s="38" t="s">
        <v>17</v>
      </c>
      <c r="D249" s="39" t="str">
        <f>Envios[Codigo]</f>
        <v>125 Blister 20 cts</v>
      </c>
      <c r="E249" s="40">
        <v>138.0</v>
      </c>
    </row>
    <row r="250" ht="22.5" customHeight="1">
      <c r="B250" s="42">
        <v>45902.0</v>
      </c>
      <c r="C250" s="38" t="s">
        <v>16</v>
      </c>
      <c r="D250" s="39" t="str">
        <f>Envios[Codigo]</f>
        <v>125 Blister 50 cts</v>
      </c>
      <c r="E250" s="40">
        <v>114.0</v>
      </c>
    </row>
    <row r="251" ht="22.5" customHeight="1">
      <c r="B251" s="42">
        <v>45902.0</v>
      </c>
      <c r="C251" s="38" t="s">
        <v>14</v>
      </c>
      <c r="D251" s="39" t="str">
        <f>Envios[Codigo]</f>
        <v>125 Blister 2 euro</v>
      </c>
      <c r="E251" s="40">
        <v>116.0</v>
      </c>
    </row>
    <row r="252" ht="22.5" customHeight="1">
      <c r="B252" s="42">
        <v>45902.0</v>
      </c>
      <c r="C252" s="38" t="s">
        <v>108</v>
      </c>
      <c r="D252" s="39" t="str">
        <f>Envios[Codigo]</f>
        <v>75g Gammarus</v>
      </c>
      <c r="E252" s="40">
        <v>180.0</v>
      </c>
    </row>
    <row r="253" ht="22.5" customHeight="1">
      <c r="B253" s="42">
        <v>45902.0</v>
      </c>
      <c r="C253" s="38" t="s">
        <v>123</v>
      </c>
      <c r="D253" s="39" t="str">
        <f>Envios[Codigo]</f>
        <v>Caja 25 pack 6 lapices</v>
      </c>
      <c r="E253" s="40">
        <f>52*2</f>
        <v>104</v>
      </c>
    </row>
    <row r="254" ht="22.5" customHeight="1">
      <c r="B254" s="42">
        <v>45902.0</v>
      </c>
      <c r="C254" s="38" t="s">
        <v>26</v>
      </c>
      <c r="D254" s="39" t="str">
        <f>Envios[Codigo]</f>
        <v>Peonza pack tradi (52mm)</v>
      </c>
      <c r="E254" s="40">
        <v>116.0</v>
      </c>
    </row>
    <row r="255" ht="22.5" customHeight="1">
      <c r="B255" s="42">
        <v>45902.0</v>
      </c>
      <c r="C255" s="38" t="s">
        <v>35</v>
      </c>
      <c r="D255" s="39" t="str">
        <f>Envios[Codigo]</f>
        <v>Set Flexi Vox (transparente)</v>
      </c>
      <c r="E255" s="40">
        <v>100.0</v>
      </c>
    </row>
    <row r="256" ht="22.5" customHeight="1">
      <c r="B256" s="42">
        <v>45902.0</v>
      </c>
      <c r="C256" s="38" t="s">
        <v>37</v>
      </c>
      <c r="D256" s="39" t="str">
        <f>Envios[Codigo]</f>
        <v>Set Flexi Vox (negro)</v>
      </c>
      <c r="E256" s="40">
        <v>30.0</v>
      </c>
    </row>
    <row r="257" ht="22.5" customHeight="1">
      <c r="B257" s="42">
        <v>45904.0</v>
      </c>
      <c r="C257" s="38" t="s">
        <v>147</v>
      </c>
      <c r="D257" s="39" t="str">
        <f>Envios[Codigo]</f>
        <v>300g Gammarus</v>
      </c>
      <c r="E257" s="40">
        <f>32*3+40+24</f>
        <v>160</v>
      </c>
    </row>
    <row r="258" ht="22.5" customHeight="1">
      <c r="B258" s="42">
        <v>45904.0</v>
      </c>
      <c r="C258" s="38" t="s">
        <v>137</v>
      </c>
      <c r="D258" s="39" t="str">
        <f>Envios[Codigo]</f>
        <v>800g Gusanos de la harina</v>
      </c>
      <c r="E258" s="40">
        <v>8.0</v>
      </c>
    </row>
    <row r="259" ht="22.5" customHeight="1">
      <c r="B259" s="42">
        <v>45905.0</v>
      </c>
      <c r="C259" s="38" t="s">
        <v>118</v>
      </c>
      <c r="D259" s="39" t="str">
        <f>Envios[Codigo]</f>
        <v>Pack 126 ceras</v>
      </c>
      <c r="E259" s="40">
        <f>24*3</f>
        <v>72</v>
      </c>
    </row>
    <row r="260" ht="22.5" customHeight="1">
      <c r="B260" s="42">
        <v>45905.0</v>
      </c>
      <c r="C260" s="38" t="s">
        <v>120</v>
      </c>
      <c r="D260" s="39" t="str">
        <f>Envios[Codigo]</f>
        <v>Caja 50 pack 4 lapices</v>
      </c>
      <c r="E260" s="40">
        <f>40*2+39</f>
        <v>119</v>
      </c>
    </row>
    <row r="261" ht="22.5" customHeight="1">
      <c r="B261" s="42">
        <v>45905.0</v>
      </c>
      <c r="C261" s="38" t="s">
        <v>123</v>
      </c>
      <c r="D261" s="39" t="str">
        <f>Envios[Codigo]</f>
        <v>Caja 25 pack 6 lapices</v>
      </c>
      <c r="E261" s="40">
        <f>52+46</f>
        <v>98</v>
      </c>
    </row>
    <row r="262" ht="22.5" customHeight="1">
      <c r="B262" s="42">
        <v>45912.0</v>
      </c>
      <c r="C262" s="38" t="s">
        <v>32</v>
      </c>
      <c r="D262" s="39" t="str">
        <f>Envios[Codigo]</f>
        <v>Solo tubo Flexi Vox (transparente)</v>
      </c>
      <c r="E262" s="40">
        <v>380.0</v>
      </c>
    </row>
    <row r="263" ht="22.5" customHeight="1">
      <c r="B263" s="42">
        <v>45912.0</v>
      </c>
      <c r="C263" s="38" t="s">
        <v>35</v>
      </c>
      <c r="D263" s="39" t="str">
        <f>Envios[Codigo]</f>
        <v>Set Flexi Vox (transparente)</v>
      </c>
      <c r="E263" s="40">
        <v>560.0</v>
      </c>
    </row>
    <row r="264" ht="22.5" customHeight="1">
      <c r="B264" s="42">
        <v>45912.0</v>
      </c>
      <c r="C264" s="38" t="s">
        <v>27</v>
      </c>
      <c r="D264" s="39" t="str">
        <f>Envios[Codigo]</f>
        <v>Peonza pack mini (48mm)</v>
      </c>
      <c r="E264" s="40">
        <v>170.0</v>
      </c>
    </row>
    <row r="265" ht="22.5" customHeight="1">
      <c r="B265" s="42">
        <v>45912.0</v>
      </c>
      <c r="C265" s="38" t="s">
        <v>217</v>
      </c>
      <c r="D265" s="39" t="str">
        <f>Envios[Codigo]</f>
        <v>400 Mix blister</v>
      </c>
      <c r="E265" s="40">
        <v>80.0</v>
      </c>
    </row>
    <row r="266" ht="22.5" customHeight="1">
      <c r="B266" s="42">
        <v>45912.0</v>
      </c>
      <c r="C266" s="38" t="s">
        <v>24</v>
      </c>
      <c r="D266" s="39" t="str">
        <f>Envios[Codigo]</f>
        <v>200 Mix blister</v>
      </c>
      <c r="E266" s="40">
        <v>35.0</v>
      </c>
    </row>
    <row r="267" ht="22.5" customHeight="1">
      <c r="B267" s="42">
        <v>45912.0</v>
      </c>
      <c r="C267" s="38" t="s">
        <v>34</v>
      </c>
      <c r="D267" s="39" t="str">
        <f>Envios[Codigo]</f>
        <v>Solo tubo Flexi Vox (negro)</v>
      </c>
      <c r="E267" s="40">
        <v>380.0</v>
      </c>
    </row>
    <row r="268" ht="22.5" customHeight="1">
      <c r="B268" s="42">
        <v>45912.0</v>
      </c>
      <c r="C268" s="38" t="s">
        <v>33</v>
      </c>
      <c r="D268" s="39" t="str">
        <f>Envios[Codigo]</f>
        <v>Solo tubo Flexi Vox (rojo)</v>
      </c>
      <c r="E268" s="40">
        <v>380.0</v>
      </c>
    </row>
    <row r="269" ht="22.5" customHeight="1">
      <c r="B269" s="42">
        <v>45912.0</v>
      </c>
      <c r="C269" s="38" t="s">
        <v>37</v>
      </c>
      <c r="D269" s="39" t="str">
        <f>Envios[Codigo]</f>
        <v>Set Flexi Vox (negro)</v>
      </c>
      <c r="E269" s="40">
        <v>560.0</v>
      </c>
    </row>
    <row r="270" ht="22.5" customHeight="1">
      <c r="B270" s="42">
        <v>45912.0</v>
      </c>
      <c r="C270" s="38" t="s">
        <v>36</v>
      </c>
      <c r="D270" s="39" t="str">
        <f>Envios[Codigo]</f>
        <v>Set Flexi Vox (rojo)</v>
      </c>
      <c r="E270" s="40">
        <v>448.0</v>
      </c>
    </row>
    <row r="271" ht="22.5" customHeight="1">
      <c r="B271" s="42">
        <v>45938.0</v>
      </c>
      <c r="C271" s="38" t="s">
        <v>126</v>
      </c>
      <c r="D271" s="39" t="str">
        <f>Envios[Codigo]</f>
        <v>Menu grande</v>
      </c>
      <c r="E271" s="40">
        <f>18+18+20+20+18+19+20+20+18+20+20</f>
        <v>211</v>
      </c>
    </row>
    <row r="272" ht="22.5" customHeight="1">
      <c r="B272" s="42">
        <v>45938.0</v>
      </c>
      <c r="C272" s="38" t="s">
        <v>15</v>
      </c>
      <c r="D272" s="39" t="str">
        <f>Envios[Codigo]</f>
        <v>125 Blister 1 euro</v>
      </c>
      <c r="E272" s="40">
        <f>124+124+128</f>
        <v>376</v>
      </c>
    </row>
    <row r="273" ht="22.5" customHeight="1">
      <c r="B273" s="42">
        <v>45938.0</v>
      </c>
      <c r="C273" s="38" t="s">
        <v>23</v>
      </c>
      <c r="D273" s="39" t="str">
        <f>Envios[Codigo]</f>
        <v>250 Blister 1e</v>
      </c>
      <c r="E273" s="40">
        <f>69+69</f>
        <v>138</v>
      </c>
    </row>
    <row r="274" ht="22.5" customHeight="1">
      <c r="B274" s="42">
        <v>45938.0</v>
      </c>
      <c r="C274" s="38" t="s">
        <v>22</v>
      </c>
      <c r="D274" s="39" t="str">
        <f>Envios[Codigo]</f>
        <v>250 pack 1e + 2 e</v>
      </c>
      <c r="E274" s="40">
        <f>66+66</f>
        <v>132</v>
      </c>
    </row>
    <row r="275" ht="22.5" customHeight="1">
      <c r="B275" s="42">
        <v>45938.0</v>
      </c>
      <c r="C275" s="38" t="s">
        <v>26</v>
      </c>
      <c r="D275" s="39" t="str">
        <f>Envios[Codigo]</f>
        <v>Peonza pack tradi (52mm)</v>
      </c>
      <c r="E275" s="40">
        <v>116.0</v>
      </c>
    </row>
    <row r="276" ht="22.5" customHeight="1">
      <c r="B276" s="42">
        <v>45938.0</v>
      </c>
      <c r="C276" s="38" t="s">
        <v>103</v>
      </c>
      <c r="D276" s="39" t="str">
        <f>Envios[Codigo]</f>
        <v>200g Menú Junior</v>
      </c>
      <c r="E276" s="40">
        <f>100*5</f>
        <v>500</v>
      </c>
    </row>
    <row r="277" ht="22.5" customHeight="1">
      <c r="B277" s="42">
        <v>45939.0</v>
      </c>
      <c r="C277" s="38" t="s">
        <v>126</v>
      </c>
      <c r="D277" s="39" t="str">
        <f>Envios[Codigo]</f>
        <v>Menu grande</v>
      </c>
      <c r="E277" s="40">
        <f>20*11</f>
        <v>220</v>
      </c>
    </row>
    <row r="278" ht="22.5" customHeight="1">
      <c r="B278" s="42">
        <v>45944.0</v>
      </c>
      <c r="C278" s="38" t="s">
        <v>26</v>
      </c>
      <c r="D278" s="39" t="str">
        <f>Envios[Codigo]</f>
        <v>Peonza pack tradi (52mm)</v>
      </c>
      <c r="E278" s="40">
        <v>118.0</v>
      </c>
    </row>
    <row r="279" ht="22.5" customHeight="1">
      <c r="B279" s="42">
        <v>45944.0</v>
      </c>
      <c r="C279" s="38" t="s">
        <v>27</v>
      </c>
      <c r="D279" s="39" t="str">
        <f>Envios[Codigo]</f>
        <v>Peonza pack mini (48mm)</v>
      </c>
      <c r="E279" s="40">
        <v>86.0</v>
      </c>
    </row>
    <row r="280" ht="22.5" customHeight="1">
      <c r="B280" s="42">
        <v>45944.0</v>
      </c>
      <c r="C280" s="38" t="s">
        <v>103</v>
      </c>
      <c r="D280" s="39" t="str">
        <f>Envios[Codigo]</f>
        <v>200g Menú Junior</v>
      </c>
      <c r="E280" s="40">
        <f>100+100</f>
        <v>200</v>
      </c>
    </row>
    <row r="281" ht="22.5" customHeight="1">
      <c r="B281" s="42">
        <v>45944.0</v>
      </c>
      <c r="C281" s="38" t="s">
        <v>18</v>
      </c>
      <c r="D281" s="39" t="str">
        <f>Envios[Codigo]</f>
        <v>125 Blister 10 cts</v>
      </c>
      <c r="E281" s="40">
        <v>76.0</v>
      </c>
    </row>
    <row r="282" ht="22.5" customHeight="1">
      <c r="B282" s="42">
        <v>45944.0</v>
      </c>
      <c r="C282" s="38" t="s">
        <v>15</v>
      </c>
      <c r="D282" s="39" t="str">
        <f>Envios[Codigo]</f>
        <v>125 Blister 1 euro</v>
      </c>
      <c r="E282" s="40">
        <f>128+124</f>
        <v>252</v>
      </c>
    </row>
    <row r="283" ht="22.5" customHeight="1">
      <c r="B283" s="42">
        <v>45944.0</v>
      </c>
      <c r="C283" s="38" t="s">
        <v>17</v>
      </c>
      <c r="D283" s="39" t="str">
        <f>Envios[Codigo]</f>
        <v>125 Blister 20 cts</v>
      </c>
      <c r="E283" s="40">
        <v>144.0</v>
      </c>
    </row>
    <row r="284" ht="22.5" customHeight="1">
      <c r="B284" s="42">
        <v>45944.0</v>
      </c>
      <c r="C284" s="38" t="s">
        <v>14</v>
      </c>
      <c r="D284" s="39" t="str">
        <f>Envios[Codigo]</f>
        <v>125 Blister 2 euro</v>
      </c>
      <c r="E284" s="40">
        <f>116*2</f>
        <v>232</v>
      </c>
    </row>
    <row r="285" ht="22.5" customHeight="1">
      <c r="B285" s="42">
        <v>45944.0</v>
      </c>
      <c r="C285" s="38" t="s">
        <v>20</v>
      </c>
      <c r="D285" s="39" t="str">
        <f>Envios[Codigo]</f>
        <v>125 Blister 2 cts</v>
      </c>
      <c r="E285" s="40">
        <v>116.0</v>
      </c>
    </row>
    <row r="286" ht="22.5" customHeight="1">
      <c r="B286" s="42">
        <v>45944.0</v>
      </c>
      <c r="C286" s="38" t="s">
        <v>16</v>
      </c>
      <c r="D286" s="39" t="str">
        <f>Envios[Codigo]</f>
        <v>125 Blister 50 cts</v>
      </c>
      <c r="E286" s="40">
        <v>104.0</v>
      </c>
    </row>
    <row r="287" ht="22.5" customHeight="1">
      <c r="B287" s="42">
        <v>45944.0</v>
      </c>
      <c r="C287" s="38" t="s">
        <v>111</v>
      </c>
      <c r="D287" s="39" t="str">
        <f>Envios[Codigo]</f>
        <v>150g Calcio en polvo</v>
      </c>
      <c r="E287" s="40">
        <f>138+135</f>
        <v>273</v>
      </c>
    </row>
    <row r="288" ht="22.5" customHeight="1">
      <c r="B288" s="42">
        <v>45944.0</v>
      </c>
      <c r="C288" s="38" t="s">
        <v>147</v>
      </c>
      <c r="D288" s="39" t="str">
        <f>Envios[Codigo]</f>
        <v>300g Gammarus</v>
      </c>
      <c r="E288" s="40">
        <f>45*2</f>
        <v>90</v>
      </c>
    </row>
    <row r="289" ht="22.5" customHeight="1">
      <c r="B289" s="42">
        <v>45944.0</v>
      </c>
      <c r="C289" s="38" t="s">
        <v>137</v>
      </c>
      <c r="D289" s="39" t="str">
        <f>Envios[Codigo]</f>
        <v>800g Gusanos de la harina</v>
      </c>
      <c r="E289" s="40">
        <f>28*9</f>
        <v>252</v>
      </c>
    </row>
    <row r="290" ht="22.5" customHeight="1">
      <c r="B290" s="42">
        <v>45946.0</v>
      </c>
      <c r="C290" s="38" t="s">
        <v>137</v>
      </c>
      <c r="D290" s="39" t="str">
        <f>Envios[Codigo]</f>
        <v>800g Gusanos de la harina</v>
      </c>
      <c r="E290" s="40">
        <f>32*2+30*3</f>
        <v>154</v>
      </c>
    </row>
    <row r="291" ht="22.5" customHeight="1">
      <c r="B291" s="42">
        <v>45946.0</v>
      </c>
      <c r="C291" s="38" t="s">
        <v>147</v>
      </c>
      <c r="D291" s="39" t="str">
        <f>Envios[Codigo]</f>
        <v>300g Gammarus</v>
      </c>
      <c r="E291" s="40">
        <f>45*2</f>
        <v>90</v>
      </c>
    </row>
    <row r="292" ht="22.5" customHeight="1">
      <c r="B292" s="42">
        <v>45946.0</v>
      </c>
      <c r="C292" s="38" t="s">
        <v>15</v>
      </c>
      <c r="D292" s="39" t="str">
        <f>Envios[Codigo]</f>
        <v>125 Blister 1 euro</v>
      </c>
      <c r="E292" s="40">
        <v>68.0</v>
      </c>
    </row>
    <row r="293" ht="22.5" customHeight="1">
      <c r="B293" s="42">
        <v>45946.0</v>
      </c>
      <c r="C293" s="38" t="s">
        <v>14</v>
      </c>
      <c r="D293" s="39" t="str">
        <f>Envios[Codigo]</f>
        <v>125 Blister 2 euro</v>
      </c>
      <c r="E293" s="40">
        <v>16.0</v>
      </c>
    </row>
    <row r="294" ht="22.5" customHeight="1">
      <c r="B294" s="42">
        <v>45946.0</v>
      </c>
      <c r="C294" s="38" t="s">
        <v>19</v>
      </c>
      <c r="D294" s="39" t="str">
        <f>Envios[Codigo]</f>
        <v>125 Blister 5 cts</v>
      </c>
      <c r="E294" s="40">
        <v>24.0</v>
      </c>
    </row>
    <row r="295" ht="22.5" customHeight="1">
      <c r="B295" s="42">
        <v>45952.0</v>
      </c>
      <c r="C295" s="38" t="s">
        <v>16</v>
      </c>
      <c r="D295" s="39" t="str">
        <f>Envios[Codigo]</f>
        <v>125 Blister 50 cts</v>
      </c>
      <c r="E295" s="40">
        <v>46.0</v>
      </c>
    </row>
    <row r="296" ht="22.5" customHeight="1">
      <c r="B296" s="42">
        <v>45952.0</v>
      </c>
      <c r="C296" s="38" t="s">
        <v>17</v>
      </c>
      <c r="D296" s="39" t="str">
        <f>Envios[Codigo]</f>
        <v>125 Blister 20 cts</v>
      </c>
      <c r="E296" s="40">
        <v>76.0</v>
      </c>
    </row>
    <row r="297" ht="22.5" customHeight="1">
      <c r="B297" s="42">
        <v>45952.0</v>
      </c>
      <c r="C297" s="38" t="s">
        <v>16</v>
      </c>
      <c r="D297" s="39" t="str">
        <f>Envios[Codigo]</f>
        <v>125 Blister 50 cts</v>
      </c>
      <c r="E297" s="40">
        <v>64.0</v>
      </c>
    </row>
    <row r="298" ht="22.5" customHeight="1">
      <c r="B298" s="42">
        <v>45952.0</v>
      </c>
      <c r="C298" s="38" t="s">
        <v>18</v>
      </c>
      <c r="D298" s="39" t="str">
        <f>Envios[Codigo]</f>
        <v>125 Blister 10 cts</v>
      </c>
      <c r="E298" s="40">
        <v>18.0</v>
      </c>
    </row>
    <row r="299" ht="22.5" customHeight="1">
      <c r="B299" s="42">
        <v>45952.0</v>
      </c>
      <c r="C299" s="38" t="s">
        <v>23</v>
      </c>
      <c r="D299" s="39" t="str">
        <f>Envios[Codigo]</f>
        <v>250 Blister 1e</v>
      </c>
      <c r="E299" s="40">
        <v>3.0</v>
      </c>
    </row>
    <row r="300" ht="22.5" customHeight="1">
      <c r="B300" s="42">
        <v>45952.0</v>
      </c>
      <c r="C300" s="38" t="s">
        <v>22</v>
      </c>
      <c r="D300" s="39" t="str">
        <f>Envios[Codigo]</f>
        <v>250 pack 1e + 2 e</v>
      </c>
      <c r="E300" s="40">
        <v>2.0</v>
      </c>
    </row>
    <row r="301" ht="22.5" customHeight="1">
      <c r="B301" s="42">
        <v>45952.0</v>
      </c>
      <c r="C301" s="38" t="s">
        <v>35</v>
      </c>
      <c r="D301" s="39" t="str">
        <f>Envios[Codigo]</f>
        <v>Set Flexi Vox (transparente)</v>
      </c>
      <c r="E301" s="40">
        <f>112*2</f>
        <v>224</v>
      </c>
    </row>
    <row r="302" ht="22.5" customHeight="1">
      <c r="B302" s="42">
        <v>45957.0</v>
      </c>
      <c r="C302" s="38" t="s">
        <v>108</v>
      </c>
      <c r="D302" s="39" t="str">
        <f>Envios[Codigo]</f>
        <v>75g Gammarus</v>
      </c>
      <c r="E302" s="40">
        <v>2.0</v>
      </c>
      <c r="G302" s="3" t="s">
        <v>276</v>
      </c>
    </row>
    <row r="303" ht="22.5" customHeight="1">
      <c r="B303" s="42">
        <v>45957.0</v>
      </c>
      <c r="C303" s="38" t="s">
        <v>35</v>
      </c>
      <c r="D303" s="39" t="str">
        <f>Envios[Codigo]</f>
        <v>Set Flexi Vox (transparente)</v>
      </c>
      <c r="E303" s="40">
        <f>130+98</f>
        <v>228</v>
      </c>
    </row>
    <row r="304" ht="22.5" customHeight="1">
      <c r="B304" s="42">
        <v>45957.0</v>
      </c>
      <c r="C304" s="38" t="s">
        <v>26</v>
      </c>
      <c r="D304" s="39" t="str">
        <f>Envios[Codigo]</f>
        <v>Peonza pack tradi (52mm)</v>
      </c>
      <c r="E304" s="40">
        <v>116.0</v>
      </c>
    </row>
    <row r="305" ht="22.5" customHeight="1">
      <c r="B305" s="42">
        <v>45965.0</v>
      </c>
      <c r="C305" s="38" t="s">
        <v>36</v>
      </c>
      <c r="D305" s="39" t="str">
        <f>Envios[Codigo]</f>
        <v>Set Flexi Vox (rojo)</v>
      </c>
      <c r="E305" s="40">
        <v>106.0</v>
      </c>
    </row>
    <row r="306" ht="22.5" customHeight="1">
      <c r="B306" s="42">
        <v>45965.0</v>
      </c>
      <c r="C306" s="38" t="s">
        <v>37</v>
      </c>
      <c r="D306" s="39" t="str">
        <f>Envios[Codigo]</f>
        <v>Set Flexi Vox (negro)</v>
      </c>
      <c r="E306" s="40">
        <v>22.0</v>
      </c>
    </row>
    <row r="307" ht="22.5" customHeight="1">
      <c r="B307" s="42">
        <v>45965.0</v>
      </c>
      <c r="C307" s="38" t="s">
        <v>26</v>
      </c>
      <c r="D307" s="39" t="str">
        <f>Envios[Codigo]</f>
        <v>Peonza pack tradi (52mm)</v>
      </c>
      <c r="E307" s="40">
        <v>40.0</v>
      </c>
    </row>
    <row r="308" ht="22.5" customHeight="1">
      <c r="B308" s="42">
        <v>45965.0</v>
      </c>
      <c r="C308" s="38" t="s">
        <v>111</v>
      </c>
      <c r="D308" s="39" t="str">
        <f>Envios[Codigo]</f>
        <v>150g Calcio en polvo</v>
      </c>
      <c r="E308" s="40">
        <v>33.0</v>
      </c>
    </row>
    <row r="309" ht="22.5" customHeight="1">
      <c r="B309" s="42">
        <v>45965.0</v>
      </c>
      <c r="C309" s="38" t="s">
        <v>108</v>
      </c>
      <c r="D309" s="39" t="str">
        <f>Envios[Codigo]</f>
        <v>75g Gammarus</v>
      </c>
      <c r="E309" s="40">
        <v>190.0</v>
      </c>
    </row>
    <row r="310" ht="22.5" customHeight="1">
      <c r="B310" s="42">
        <v>45965.0</v>
      </c>
      <c r="C310" s="38" t="s">
        <v>32</v>
      </c>
      <c r="D310" s="39" t="str">
        <f>Envios[Codigo]</f>
        <v>Solo tubo Flexi Vox (transparente)</v>
      </c>
      <c r="E310" s="40">
        <v>381.0</v>
      </c>
    </row>
    <row r="311" ht="22.5" customHeight="1">
      <c r="B311" s="42">
        <v>45965.0</v>
      </c>
      <c r="C311" s="38" t="s">
        <v>35</v>
      </c>
      <c r="D311" s="39" t="str">
        <f>Envios[Codigo]</f>
        <v>Set Flexi Vox (transparente)</v>
      </c>
      <c r="E311" s="40">
        <f>128*2</f>
        <v>256</v>
      </c>
    </row>
    <row r="312" ht="22.5" customHeight="1">
      <c r="B312" s="42">
        <v>45965.0</v>
      </c>
      <c r="C312" s="38" t="s">
        <v>111</v>
      </c>
      <c r="D312" s="39" t="str">
        <f>Envios[Codigo]</f>
        <v>150g Calcio en polvo</v>
      </c>
      <c r="E312" s="40">
        <v>136.0</v>
      </c>
    </row>
    <row r="313" ht="22.5" customHeight="1">
      <c r="B313" s="42">
        <v>45966.0</v>
      </c>
      <c r="C313" s="38" t="s">
        <v>126</v>
      </c>
      <c r="D313" s="39" t="str">
        <f>Envios[Codigo]</f>
        <v>Menu grande</v>
      </c>
      <c r="E313" s="40">
        <f>22*5</f>
        <v>110</v>
      </c>
    </row>
    <row r="314" ht="22.5" customHeight="1">
      <c r="B314" s="42">
        <v>45967.0</v>
      </c>
      <c r="C314" s="38" t="s">
        <v>147</v>
      </c>
      <c r="D314" s="39" t="str">
        <f>Envios[Codigo]</f>
        <v>300g Gammarus</v>
      </c>
      <c r="E314" s="40">
        <v>45.0</v>
      </c>
    </row>
    <row r="315" ht="22.5" customHeight="1">
      <c r="B315" s="42">
        <v>45967.0</v>
      </c>
      <c r="C315" s="38" t="s">
        <v>137</v>
      </c>
      <c r="D315" s="39" t="str">
        <f>Envios[Codigo]</f>
        <v>800g Gusanos de la harina</v>
      </c>
      <c r="E315" s="40">
        <f>30*3</f>
        <v>90</v>
      </c>
    </row>
    <row r="316" ht="22.5" customHeight="1">
      <c r="B316" s="42">
        <v>45967.0</v>
      </c>
      <c r="C316" s="38" t="s">
        <v>118</v>
      </c>
      <c r="D316" s="39" t="str">
        <f>Envios[Codigo]</f>
        <v>Pack 126 ceras</v>
      </c>
      <c r="E316" s="40">
        <f>23*4+24*5</f>
        <v>212</v>
      </c>
    </row>
    <row r="317" ht="22.5" customHeight="1">
      <c r="B317" s="42">
        <v>45967.0</v>
      </c>
      <c r="C317" s="38" t="s">
        <v>27</v>
      </c>
      <c r="D317" s="39" t="str">
        <f>Envios[Codigo]</f>
        <v>Peonza pack mini (48mm)</v>
      </c>
      <c r="E317" s="40">
        <v>85.0</v>
      </c>
    </row>
    <row r="318" ht="22.5" customHeight="1">
      <c r="B318" s="42">
        <v>45967.0</v>
      </c>
      <c r="C318" s="38" t="s">
        <v>126</v>
      </c>
      <c r="D318" s="39" t="str">
        <f>Envios[Codigo]</f>
        <v>Menu grande</v>
      </c>
      <c r="E318" s="40">
        <f>21*4+22*2+20</f>
        <v>148</v>
      </c>
    </row>
    <row r="319" ht="22.5" customHeight="1">
      <c r="B319" s="42">
        <v>45969.0</v>
      </c>
      <c r="C319" s="38" t="s">
        <v>26</v>
      </c>
      <c r="D319" s="39" t="str">
        <f>Envios[Codigo]</f>
        <v>Peonza pack tradi (52mm)</v>
      </c>
      <c r="E319" s="40">
        <f>114*2+115*2+19</f>
        <v>477</v>
      </c>
    </row>
    <row r="320" ht="22.5" customHeight="1">
      <c r="B320" s="42">
        <v>45967.0</v>
      </c>
      <c r="C320" s="38" t="s">
        <v>7</v>
      </c>
      <c r="D320" s="39" t="str">
        <f>Envios[Codigo]</f>
        <v>Calcio 15 pcs</v>
      </c>
      <c r="E320" s="40">
        <v>39.0</v>
      </c>
    </row>
    <row r="321" ht="22.5" customHeight="1">
      <c r="B321" s="42">
        <v>45967.0</v>
      </c>
      <c r="C321" s="38" t="s">
        <v>218</v>
      </c>
      <c r="D321" s="39" t="str">
        <f>Envios[Codigo]</f>
        <v>Peonza pack boligrafo</v>
      </c>
      <c r="E321" s="40">
        <v>50.0</v>
      </c>
      <c r="G321" s="3" t="s">
        <v>277</v>
      </c>
    </row>
    <row r="322" ht="22.5" customHeight="1">
      <c r="B322" s="42">
        <v>45973.0</v>
      </c>
      <c r="C322" s="38" t="s">
        <v>35</v>
      </c>
      <c r="D322" s="39" t="str">
        <f>Envios[Codigo]</f>
        <v>Set Flexi Vox (transparente)</v>
      </c>
      <c r="E322" s="40">
        <f>128*2-29</f>
        <v>227</v>
      </c>
    </row>
    <row r="323" ht="22.5" customHeight="1">
      <c r="B323" s="42">
        <v>45973.0</v>
      </c>
      <c r="C323" s="38" t="s">
        <v>123</v>
      </c>
      <c r="D323" s="39" t="str">
        <f>Envios[Codigo]</f>
        <v>Caja 25 pack 6 lapices</v>
      </c>
      <c r="E323" s="40">
        <f>52*2</f>
        <v>104</v>
      </c>
    </row>
    <row r="324" ht="22.5" customHeight="1">
      <c r="B324" s="42">
        <v>45973.0</v>
      </c>
      <c r="C324" s="38" t="s">
        <v>27</v>
      </c>
      <c r="D324" s="39" t="str">
        <f>Envios[Codigo]</f>
        <v>Peonza pack mini (48mm)</v>
      </c>
      <c r="E324" s="40">
        <v>85.0</v>
      </c>
    </row>
    <row r="325" ht="22.5" customHeight="1">
      <c r="B325" s="42">
        <v>45985.0</v>
      </c>
      <c r="C325" s="38" t="s">
        <v>123</v>
      </c>
      <c r="D325" s="39" t="str">
        <f>Envios[Codigo]</f>
        <v>Caja 25 pack 6 lapices</v>
      </c>
      <c r="E325" s="40">
        <f>43+52</f>
        <v>95</v>
      </c>
    </row>
    <row r="326" ht="22.5" customHeight="1">
      <c r="B326" s="42">
        <v>45985.0</v>
      </c>
      <c r="C326" s="38" t="s">
        <v>27</v>
      </c>
      <c r="D326" s="39" t="str">
        <f>Envios[Codigo]</f>
        <v>Peonza pack mini (48mm)</v>
      </c>
      <c r="E326" s="40">
        <f>85</f>
        <v>85</v>
      </c>
    </row>
    <row r="327" ht="22.5" customHeight="1">
      <c r="B327" s="42">
        <v>45985.0</v>
      </c>
      <c r="C327" s="38" t="s">
        <v>103</v>
      </c>
      <c r="D327" s="39" t="str">
        <f>Envios[Codigo]</f>
        <v>200g Menú Junior</v>
      </c>
      <c r="E327" s="40">
        <v>100.0</v>
      </c>
    </row>
    <row r="328" ht="22.5" customHeight="1">
      <c r="B328" s="42">
        <v>45985.0</v>
      </c>
      <c r="C328" s="38" t="s">
        <v>118</v>
      </c>
      <c r="D328" s="39" t="str">
        <f>Envios[Codigo]</f>
        <v>Pack 126 ceras</v>
      </c>
      <c r="E328" s="40">
        <f>24*8</f>
        <v>192</v>
      </c>
    </row>
    <row r="329" ht="22.5" customHeight="1">
      <c r="B329" s="42">
        <v>45985.0</v>
      </c>
      <c r="C329" s="38" t="s">
        <v>137</v>
      </c>
      <c r="D329" s="39" t="str">
        <f>Envios[Codigo]</f>
        <v>800g Gusanos de la harina</v>
      </c>
      <c r="E329" s="40">
        <f>30+28+28</f>
        <v>86</v>
      </c>
    </row>
    <row r="330" ht="22.5" customHeight="1">
      <c r="B330" s="42">
        <v>45985.0</v>
      </c>
      <c r="C330" s="38" t="s">
        <v>126</v>
      </c>
      <c r="D330" s="39" t="str">
        <f>Envios[Codigo]</f>
        <v>Menu grande</v>
      </c>
      <c r="E330" s="40">
        <f>20+20+20+21</f>
        <v>81</v>
      </c>
    </row>
    <row r="331" ht="22.5" customHeight="1">
      <c r="B331" s="42">
        <v>45985.0</v>
      </c>
      <c r="C331" s="38" t="s">
        <v>26</v>
      </c>
      <c r="D331" s="39" t="str">
        <f>Envios[Codigo]</f>
        <v>Peonza pack tradi (52mm)</v>
      </c>
      <c r="E331" s="40">
        <f>112+115</f>
        <v>227</v>
      </c>
    </row>
    <row r="332" ht="22.5" customHeight="1">
      <c r="B332" s="42">
        <v>45987.0</v>
      </c>
      <c r="C332" s="38" t="s">
        <v>32</v>
      </c>
      <c r="D332" s="39" t="str">
        <f>Envios[Codigo]</f>
        <v>Solo tubo Flexi Vox (transparente)</v>
      </c>
      <c r="E332" s="40">
        <v>380.0</v>
      </c>
    </row>
    <row r="333" ht="22.5" customHeight="1">
      <c r="B333" s="42">
        <v>45987.0</v>
      </c>
      <c r="C333" s="38" t="s">
        <v>26</v>
      </c>
      <c r="D333" s="39" t="str">
        <f>Envios[Codigo]</f>
        <v>Peonza pack tradi (52mm)</v>
      </c>
      <c r="E333" s="40">
        <f>115*2</f>
        <v>230</v>
      </c>
    </row>
    <row r="334" ht="22.5" customHeight="1">
      <c r="B334" s="42">
        <v>45992.0</v>
      </c>
      <c r="C334" s="38" t="s">
        <v>137</v>
      </c>
      <c r="D334" s="39" t="str">
        <f>Envios[Codigo]</f>
        <v>800g Gusanos de la harina</v>
      </c>
      <c r="E334" s="40">
        <f>28*5</f>
        <v>140</v>
      </c>
    </row>
    <row r="335" ht="22.5" customHeight="1">
      <c r="B335" s="42">
        <v>45992.0</v>
      </c>
      <c r="C335" s="38" t="s">
        <v>23</v>
      </c>
      <c r="D335" s="39" t="str">
        <f>Envios[Codigo]</f>
        <v>250 Blister 1e</v>
      </c>
      <c r="E335" s="40">
        <v>69.0</v>
      </c>
    </row>
    <row r="336" ht="22.5" customHeight="1">
      <c r="B336" s="42">
        <v>45993.0</v>
      </c>
      <c r="C336" s="38" t="s">
        <v>35</v>
      </c>
      <c r="D336" s="39" t="str">
        <f>Envios[Codigo]</f>
        <v>Set Flexi Vox (transparente)</v>
      </c>
      <c r="E336" s="40">
        <f t="shared" ref="E336:E338" si="2">128*2</f>
        <v>256</v>
      </c>
    </row>
    <row r="337" ht="22.5" customHeight="1">
      <c r="B337" s="42">
        <v>45995.0</v>
      </c>
      <c r="C337" s="38" t="s">
        <v>36</v>
      </c>
      <c r="D337" s="39" t="str">
        <f>Envios[Codigo]</f>
        <v>Set Flexi Vox (rojo)</v>
      </c>
      <c r="E337" s="40">
        <f t="shared" si="2"/>
        <v>256</v>
      </c>
    </row>
    <row r="338" ht="22.5" customHeight="1">
      <c r="B338" s="42">
        <v>45995.0</v>
      </c>
      <c r="C338" s="38" t="s">
        <v>37</v>
      </c>
      <c r="D338" s="39" t="str">
        <f>Envios[Codigo]</f>
        <v>Set Flexi Vox (negro)</v>
      </c>
      <c r="E338" s="40">
        <f t="shared" si="2"/>
        <v>256</v>
      </c>
    </row>
    <row r="339" ht="22.5" customHeight="1">
      <c r="B339" s="42">
        <v>46000.0</v>
      </c>
      <c r="C339" s="38" t="s">
        <v>35</v>
      </c>
      <c r="D339" s="39" t="str">
        <f>Envios[Codigo]</f>
        <v>Set Flexi Vox (transparente)</v>
      </c>
      <c r="E339" s="40">
        <f>128+107</f>
        <v>235</v>
      </c>
    </row>
    <row r="340" ht="22.5" customHeight="1">
      <c r="B340" s="42">
        <v>46001.0</v>
      </c>
      <c r="C340" s="38" t="s">
        <v>35</v>
      </c>
      <c r="D340" s="39" t="str">
        <f>Envios[Codigo]</f>
        <v>Set Flexi Vox (transparente)</v>
      </c>
      <c r="E340" s="40">
        <v>96.0</v>
      </c>
    </row>
    <row r="341" ht="22.5" customHeight="1">
      <c r="B341" s="42">
        <v>46001.0</v>
      </c>
      <c r="C341" s="38" t="s">
        <v>120</v>
      </c>
      <c r="D341" s="39" t="str">
        <f>Envios[Codigo]</f>
        <v>Caja 50 pack 4 lapices</v>
      </c>
      <c r="E341" s="40">
        <f>38+38+32</f>
        <v>108</v>
      </c>
    </row>
    <row r="342" ht="22.5" customHeight="1">
      <c r="B342" s="42">
        <v>46001.0</v>
      </c>
      <c r="C342" s="38" t="s">
        <v>123</v>
      </c>
      <c r="D342" s="39" t="str">
        <f>Envios[Codigo]</f>
        <v>Caja 25 pack 6 lapices</v>
      </c>
      <c r="E342" s="40">
        <f>4*50</f>
        <v>200</v>
      </c>
    </row>
    <row r="343" ht="22.5" customHeight="1">
      <c r="B343" s="42">
        <v>46002.0</v>
      </c>
      <c r="C343" s="38" t="s">
        <v>35</v>
      </c>
      <c r="D343" s="39" t="str">
        <f>Envios[Codigo]</f>
        <v>Set Flexi Vox (transparente)</v>
      </c>
      <c r="E343" s="40">
        <v>122.0</v>
      </c>
    </row>
    <row r="344" ht="22.5" customHeight="1">
      <c r="B344" s="42">
        <v>46003.0</v>
      </c>
      <c r="C344" s="38" t="s">
        <v>118</v>
      </c>
      <c r="D344" s="39" t="str">
        <f>Envios[Codigo]</f>
        <v>Pack 126 ceras</v>
      </c>
      <c r="E344" s="40">
        <f>21+24*6</f>
        <v>165</v>
      </c>
    </row>
    <row r="345" ht="22.5" customHeight="1">
      <c r="B345" s="42">
        <v>46006.0</v>
      </c>
      <c r="C345" s="38" t="s">
        <v>108</v>
      </c>
      <c r="D345" s="39" t="str">
        <f>Envios[Codigo]</f>
        <v>75g Gammarus</v>
      </c>
      <c r="E345" s="40">
        <f>200*1</f>
        <v>200</v>
      </c>
    </row>
    <row r="346" ht="22.5" customHeight="1">
      <c r="B346" s="42">
        <v>46013.0</v>
      </c>
      <c r="C346" s="38" t="s">
        <v>111</v>
      </c>
      <c r="D346" s="39" t="str">
        <f>Envios[Codigo]</f>
        <v>150g Calcio en polvo</v>
      </c>
      <c r="E346" s="40">
        <v>134.0</v>
      </c>
      <c r="G346" s="3">
        <v>134.0</v>
      </c>
    </row>
    <row r="347" ht="22.5" customHeight="1">
      <c r="B347" s="42">
        <v>46013.0</v>
      </c>
      <c r="C347" s="38" t="s">
        <v>16</v>
      </c>
      <c r="D347" s="39" t="str">
        <f>Envios[Codigo]</f>
        <v>125 Blister 50 cts</v>
      </c>
      <c r="E347" s="40">
        <v>104.0</v>
      </c>
    </row>
    <row r="348" ht="22.5" customHeight="1">
      <c r="B348" s="42">
        <v>46013.0</v>
      </c>
      <c r="C348" s="38" t="s">
        <v>118</v>
      </c>
      <c r="D348" s="39" t="str">
        <f>Envios[Codigo]</f>
        <v>Pack 126 ceras</v>
      </c>
      <c r="E348" s="40">
        <v>24.0</v>
      </c>
    </row>
    <row r="349" ht="22.5" customHeight="1">
      <c r="B349" s="42">
        <v>46022.0</v>
      </c>
      <c r="C349" s="38" t="s">
        <v>18</v>
      </c>
      <c r="D349" s="39" t="str">
        <f>Envios[Codigo]</f>
        <v>125 Blister 10 cts</v>
      </c>
      <c r="E349" s="40">
        <v>75.0</v>
      </c>
    </row>
    <row r="350" ht="22.5" customHeight="1">
      <c r="B350" s="42">
        <v>46022.0</v>
      </c>
      <c r="C350" s="38" t="s">
        <v>35</v>
      </c>
      <c r="D350" s="39" t="str">
        <f>Envios[Codigo]</f>
        <v>Set Flexi Vox (transparente)</v>
      </c>
      <c r="E350" s="40">
        <v>36.0</v>
      </c>
    </row>
    <row r="351" ht="22.5" customHeight="1">
      <c r="B351" s="42">
        <v>46022.0</v>
      </c>
      <c r="C351" s="38" t="s">
        <v>36</v>
      </c>
      <c r="D351" s="39" t="str">
        <f>Envios[Codigo]</f>
        <v>Set Flexi Vox (rojo)</v>
      </c>
      <c r="E351" s="40">
        <v>288.0</v>
      </c>
    </row>
    <row r="352" ht="22.5" customHeight="1">
      <c r="B352" s="42">
        <v>46022.0</v>
      </c>
      <c r="C352" s="38" t="s">
        <v>37</v>
      </c>
      <c r="D352" s="39" t="str">
        <f>Envios[Codigo]</f>
        <v>Set Flexi Vox (negro)</v>
      </c>
      <c r="E352" s="40">
        <v>276.0</v>
      </c>
    </row>
    <row r="353" ht="22.5" customHeight="1">
      <c r="B353" s="42">
        <v>46022.0</v>
      </c>
      <c r="C353" s="38" t="s">
        <v>111</v>
      </c>
      <c r="D353" s="39" t="str">
        <f>Envios[Codigo]</f>
        <v>150g Calcio en polvo</v>
      </c>
      <c r="E353" s="40">
        <v>264.0</v>
      </c>
      <c r="G353" s="3">
        <v>264.0</v>
      </c>
    </row>
    <row r="354" ht="22.5" customHeight="1">
      <c r="B354" s="40" t="s">
        <v>278</v>
      </c>
      <c r="C354" s="38" t="s">
        <v>26</v>
      </c>
      <c r="D354" s="39" t="str">
        <f>Envios[Codigo]</f>
        <v>Peonza pack tradi (52mm)</v>
      </c>
      <c r="E354" s="40">
        <v>126.0</v>
      </c>
    </row>
    <row r="355" ht="22.5" customHeight="1">
      <c r="B355" s="40" t="s">
        <v>278</v>
      </c>
      <c r="C355" s="38" t="s">
        <v>27</v>
      </c>
      <c r="D355" s="39" t="str">
        <f>Envios[Codigo]</f>
        <v>Peonza pack mini (48mm)</v>
      </c>
      <c r="E355" s="40">
        <v>173.0</v>
      </c>
    </row>
    <row r="356" ht="22.5" customHeight="1">
      <c r="B356" s="40" t="s">
        <v>278</v>
      </c>
      <c r="C356" s="38" t="s">
        <v>118</v>
      </c>
      <c r="D356" s="39" t="str">
        <f>Envios[Codigo]</f>
        <v>Pack 126 ceras</v>
      </c>
      <c r="E356" s="40">
        <v>40.0</v>
      </c>
    </row>
    <row r="357" ht="22.5" customHeight="1">
      <c r="B357" s="40" t="s">
        <v>278</v>
      </c>
      <c r="C357" s="38" t="s">
        <v>126</v>
      </c>
      <c r="D357" s="39" t="str">
        <f>Envios[Codigo]</f>
        <v>Menu grande</v>
      </c>
      <c r="E357" s="40">
        <v>180.0</v>
      </c>
    </row>
    <row r="358" ht="22.5" customHeight="1">
      <c r="B358" s="40" t="s">
        <v>278</v>
      </c>
      <c r="C358" s="38" t="s">
        <v>103</v>
      </c>
      <c r="D358" s="39" t="str">
        <f>Envios[Codigo]</f>
        <v>200g Menú Junior</v>
      </c>
      <c r="E358" s="40">
        <v>600.0</v>
      </c>
    </row>
    <row r="359" ht="22.5" customHeight="1">
      <c r="B359" s="40" t="s">
        <v>278</v>
      </c>
      <c r="C359" s="38" t="s">
        <v>137</v>
      </c>
      <c r="D359" s="39" t="str">
        <f>Envios[Codigo]</f>
        <v>800g Gusanos de la harina</v>
      </c>
      <c r="E359" s="40">
        <v>34.0</v>
      </c>
    </row>
    <row r="360" ht="22.5" customHeight="1">
      <c r="B360" s="42">
        <v>46029.0</v>
      </c>
      <c r="C360" s="38" t="s">
        <v>137</v>
      </c>
      <c r="D360" s="39" t="str">
        <f>Envios[Codigo]</f>
        <v>800g Gusanos de la harina</v>
      </c>
      <c r="E360" s="40">
        <v>22.0</v>
      </c>
    </row>
    <row r="361" ht="22.5" customHeight="1">
      <c r="B361" s="42">
        <v>46029.0</v>
      </c>
      <c r="C361" s="38" t="s">
        <v>103</v>
      </c>
      <c r="D361" s="39" t="str">
        <f>Envios[Codigo]</f>
        <v>200g Menú Junior</v>
      </c>
      <c r="E361" s="40">
        <v>2.0</v>
      </c>
    </row>
    <row r="362" ht="22.5" customHeight="1">
      <c r="B362" s="42">
        <v>46029.0</v>
      </c>
      <c r="C362" s="38" t="s">
        <v>14</v>
      </c>
      <c r="D362" s="39" t="str">
        <f>Envios[Codigo]</f>
        <v>125 Blister 2 euro</v>
      </c>
      <c r="E362" s="40">
        <v>239.0</v>
      </c>
    </row>
    <row r="363" ht="22.5" customHeight="1">
      <c r="B363" s="42">
        <v>46029.0</v>
      </c>
      <c r="C363" s="38" t="s">
        <v>23</v>
      </c>
      <c r="D363" s="39" t="str">
        <f>Envios[Codigo]</f>
        <v>250 Blister 1e</v>
      </c>
      <c r="E363" s="40">
        <v>139.0</v>
      </c>
    </row>
    <row r="364" ht="22.5" customHeight="1">
      <c r="B364" s="42">
        <v>46036.0</v>
      </c>
      <c r="C364" s="38" t="s">
        <v>35</v>
      </c>
      <c r="D364" s="39" t="str">
        <f>Envios[Codigo]</f>
        <v>Set Flexi Vox (transparente)</v>
      </c>
      <c r="E364" s="40">
        <v>112.0</v>
      </c>
    </row>
    <row r="365" ht="22.5" customHeight="1">
      <c r="B365" s="42">
        <v>46036.0</v>
      </c>
      <c r="C365" s="38" t="s">
        <v>37</v>
      </c>
      <c r="D365" s="39" t="str">
        <f>Envios[Codigo]</f>
        <v>Set Flexi Vox (negro)</v>
      </c>
      <c r="E365" s="40">
        <v>112.0</v>
      </c>
    </row>
    <row r="366" ht="22.5" customHeight="1">
      <c r="B366" s="42">
        <v>46036.0</v>
      </c>
      <c r="C366" s="38" t="s">
        <v>36</v>
      </c>
      <c r="D366" s="39" t="str">
        <f>Envios[Codigo]</f>
        <v>Set Flexi Vox (rojo)</v>
      </c>
      <c r="E366" s="40">
        <v>112.0</v>
      </c>
    </row>
    <row r="367" ht="22.5" customHeight="1">
      <c r="B367" s="42">
        <v>46059.0</v>
      </c>
      <c r="C367" s="38" t="s">
        <v>35</v>
      </c>
      <c r="D367" s="39" t="str">
        <f>Envios[Codigo]</f>
        <v>Set Flexi Vox (transparente)</v>
      </c>
      <c r="E367" s="40">
        <f>128*2</f>
        <v>256</v>
      </c>
    </row>
    <row r="368" ht="22.5" customHeight="1">
      <c r="B368" s="42">
        <v>46059.0</v>
      </c>
      <c r="C368" s="38" t="s">
        <v>36</v>
      </c>
      <c r="D368" s="39" t="str">
        <f>Envios[Codigo]</f>
        <v>Set Flexi Vox (rojo)</v>
      </c>
      <c r="E368" s="40">
        <f>112*2</f>
        <v>224</v>
      </c>
    </row>
    <row r="369" ht="22.5" customHeight="1">
      <c r="B369" s="42">
        <v>46059.0</v>
      </c>
      <c r="C369" s="38" t="s">
        <v>37</v>
      </c>
      <c r="D369" s="39" t="str">
        <f>Envios[Codigo]</f>
        <v>Set Flexi Vox (negro)</v>
      </c>
      <c r="E369" s="40">
        <f>128*2</f>
        <v>256</v>
      </c>
    </row>
    <row r="370" ht="22.5" customHeight="1">
      <c r="B370" s="42">
        <v>46059.0</v>
      </c>
      <c r="C370" s="38" t="s">
        <v>35</v>
      </c>
      <c r="D370" s="39" t="str">
        <f>Envios[Codigo]</f>
        <v>Set Flexi Vox (transparente)</v>
      </c>
      <c r="E370" s="40">
        <v>112.0</v>
      </c>
    </row>
    <row r="371" ht="22.5" customHeight="1">
      <c r="B371" s="42">
        <v>46059.0</v>
      </c>
      <c r="C371" s="38" t="s">
        <v>35</v>
      </c>
      <c r="D371" s="39" t="str">
        <f>Envios[Codigo]</f>
        <v>Set Flexi Vox (transparente)</v>
      </c>
      <c r="E371" s="40">
        <v>112.0</v>
      </c>
    </row>
    <row r="372" ht="22.5" customHeight="1">
      <c r="B372" s="42">
        <v>46066.0</v>
      </c>
      <c r="C372" s="38" t="s">
        <v>111</v>
      </c>
      <c r="D372" s="39" t="str">
        <f>Envios[Codigo]</f>
        <v>150g Calcio en polvo</v>
      </c>
      <c r="E372" s="40">
        <v>120.0</v>
      </c>
    </row>
    <row r="373" ht="22.5" customHeight="1">
      <c r="B373" s="42">
        <v>46067.0</v>
      </c>
      <c r="C373" s="38" t="s">
        <v>111</v>
      </c>
      <c r="D373" s="39" t="str">
        <f>Envios[Codigo]</f>
        <v>150g Calcio en polvo</v>
      </c>
      <c r="E373" s="40">
        <v>133.0</v>
      </c>
    </row>
    <row r="374" ht="22.5" customHeight="1">
      <c r="B374" s="40" t="s">
        <v>279</v>
      </c>
      <c r="C374" s="38" t="s">
        <v>18</v>
      </c>
      <c r="D374" s="39" t="str">
        <f>Envios[Codigo]</f>
        <v>125 Blister 10 cts</v>
      </c>
      <c r="E374" s="40">
        <v>73.0</v>
      </c>
    </row>
    <row r="375" ht="22.5" customHeight="1">
      <c r="B375" s="40" t="s">
        <v>279</v>
      </c>
      <c r="C375" s="38" t="s">
        <v>14</v>
      </c>
      <c r="D375" s="39" t="str">
        <f>Envios[Codigo]</f>
        <v>125 Blister 2 euro</v>
      </c>
      <c r="E375" s="40">
        <v>232.0</v>
      </c>
    </row>
    <row r="376" ht="22.5" customHeight="1">
      <c r="B376" s="40" t="s">
        <v>279</v>
      </c>
      <c r="C376" s="38" t="s">
        <v>16</v>
      </c>
      <c r="D376" s="39" t="str">
        <f>Envios[Codigo]</f>
        <v>125 Blister 50 cts</v>
      </c>
      <c r="E376" s="40">
        <v>104.0</v>
      </c>
    </row>
    <row r="377" ht="22.5" customHeight="1">
      <c r="B377" s="40" t="s">
        <v>279</v>
      </c>
      <c r="C377" s="38" t="s">
        <v>17</v>
      </c>
      <c r="D377" s="39" t="str">
        <f>Envios[Codigo]</f>
        <v>125 Blister 20 cts</v>
      </c>
      <c r="E377" s="40">
        <v>128.0</v>
      </c>
    </row>
    <row r="378" ht="22.5" customHeight="1">
      <c r="B378" s="42">
        <v>46066.0</v>
      </c>
      <c r="C378" s="38" t="s">
        <v>32</v>
      </c>
      <c r="D378" s="39" t="str">
        <f>Envios[Codigo]</f>
        <v>Solo tubo Flexi Vox (transparente)</v>
      </c>
      <c r="E378" s="40">
        <v>380.0</v>
      </c>
    </row>
    <row r="379" ht="22.5" customHeight="1">
      <c r="B379" s="42">
        <v>46066.0</v>
      </c>
      <c r="C379" s="38" t="s">
        <v>33</v>
      </c>
      <c r="D379" s="39" t="str">
        <f>Envios[Codigo]</f>
        <v>Solo tubo Flexi Vox (rojo)</v>
      </c>
      <c r="E379" s="40">
        <v>380.0</v>
      </c>
    </row>
    <row r="380" ht="22.5" customHeight="1">
      <c r="B380" s="42">
        <v>46066.0</v>
      </c>
      <c r="C380" s="38" t="s">
        <v>34</v>
      </c>
      <c r="D380" s="39" t="str">
        <f>Envios[Codigo]</f>
        <v>Solo tubo Flexi Vox (negro)</v>
      </c>
      <c r="E380" s="40">
        <v>380.0</v>
      </c>
    </row>
    <row r="381" ht="22.5" customHeight="1">
      <c r="B381" s="42">
        <v>46066.0</v>
      </c>
      <c r="C381" s="38" t="s">
        <v>132</v>
      </c>
      <c r="D381" s="39" t="str">
        <f>Envios[Codigo]</f>
        <v>175g Gusanos de la harina</v>
      </c>
      <c r="E381" s="40">
        <v>344.0</v>
      </c>
    </row>
    <row r="382" ht="22.5" customHeight="1">
      <c r="B382" s="42">
        <v>46066.0</v>
      </c>
      <c r="C382" s="38" t="s">
        <v>135</v>
      </c>
      <c r="D382" s="39" t="str">
        <f>Envios[Codigo]</f>
        <v>300g Gusanos de la harina</v>
      </c>
      <c r="E382" s="40">
        <v>336.0</v>
      </c>
    </row>
    <row r="383" ht="22.5" customHeight="1">
      <c r="B383" s="42">
        <v>46066.0</v>
      </c>
      <c r="C383" s="38" t="s">
        <v>137</v>
      </c>
      <c r="D383" s="39" t="str">
        <f>Envios[Codigo]</f>
        <v>800g Gusanos de la harina</v>
      </c>
      <c r="E383" s="40">
        <v>225.0</v>
      </c>
    </row>
    <row r="384" ht="22.5" customHeight="1">
      <c r="B384" s="42">
        <v>46070.0</v>
      </c>
      <c r="C384" s="38" t="s">
        <v>14</v>
      </c>
      <c r="D384" s="39" t="str">
        <f>Envios[Codigo]</f>
        <v>125 Blister 2 euro</v>
      </c>
      <c r="E384" s="40">
        <f>116*2</f>
        <v>232</v>
      </c>
    </row>
    <row r="385" ht="22.5" customHeight="1">
      <c r="B385" s="42">
        <v>46070.0</v>
      </c>
      <c r="C385" s="38" t="s">
        <v>139</v>
      </c>
      <c r="D385" s="39" t="str">
        <f>Envios[Codigo]</f>
        <v>250g Calcio en polvo</v>
      </c>
      <c r="E385" s="40">
        <f>80*2</f>
        <v>160</v>
      </c>
    </row>
    <row r="386" ht="22.5" customHeight="1">
      <c r="B386" s="42">
        <v>46078.0</v>
      </c>
      <c r="C386" s="38" t="s">
        <v>140</v>
      </c>
      <c r="D386" s="39" t="str">
        <f>Envios[Codigo]</f>
        <v>1000g Larvas mosca</v>
      </c>
      <c r="E386" s="40">
        <f>18*7+20*3+12</f>
        <v>198</v>
      </c>
    </row>
    <row r="387" ht="22.5" customHeight="1">
      <c r="B387" s="42">
        <v>46079.0</v>
      </c>
      <c r="C387" s="38" t="s">
        <v>36</v>
      </c>
      <c r="D387" s="39" t="str">
        <f>Envios[Codigo]</f>
        <v>Set Flexi Vox (rojo)</v>
      </c>
      <c r="E387" s="40">
        <f>120+128</f>
        <v>248</v>
      </c>
    </row>
    <row r="388" ht="22.5" customHeight="1">
      <c r="B388" s="42">
        <v>46079.0</v>
      </c>
      <c r="C388" s="38" t="s">
        <v>37</v>
      </c>
      <c r="D388" s="39" t="str">
        <f>Envios[Codigo]</f>
        <v>Set Flexi Vox (negro)</v>
      </c>
      <c r="E388" s="40">
        <f>82*3</f>
        <v>246</v>
      </c>
    </row>
    <row r="389" ht="22.5" customHeight="1">
      <c r="B389" s="42">
        <v>46079.0</v>
      </c>
      <c r="C389" s="38" t="s">
        <v>35</v>
      </c>
      <c r="D389" s="39" t="str">
        <f>Envios[Codigo]</f>
        <v>Set Flexi Vox (transparente)</v>
      </c>
      <c r="E389" s="40">
        <f>82*7</f>
        <v>574</v>
      </c>
    </row>
    <row r="390" ht="22.5" customHeight="1">
      <c r="B390" s="42">
        <v>46080.0</v>
      </c>
      <c r="C390" s="38" t="s">
        <v>143</v>
      </c>
      <c r="D390" s="39" t="str">
        <f>Envios[Codigo]</f>
        <v>900g Menú Sticks</v>
      </c>
      <c r="E390" s="40">
        <f>13*23</f>
        <v>299</v>
      </c>
    </row>
    <row r="391" ht="22.5" customHeight="1">
      <c r="B391" s="42"/>
      <c r="C391" s="43"/>
      <c r="D391" s="39" t="str">
        <f>Envios[Codigo]</f>
        <v/>
      </c>
      <c r="E391" s="40"/>
    </row>
    <row r="392" ht="22.5" customHeight="1">
      <c r="B392" s="42"/>
      <c r="C392" s="43"/>
      <c r="D392" s="39" t="str">
        <f>Envios[Codigo]</f>
        <v/>
      </c>
      <c r="E392" s="40"/>
    </row>
    <row r="393" ht="22.5" customHeight="1">
      <c r="B393" s="42"/>
      <c r="C393" s="43"/>
      <c r="D393" s="39" t="str">
        <f>Envios[Codigo]</f>
        <v/>
      </c>
      <c r="E393" s="40"/>
    </row>
    <row r="394" ht="22.5" customHeight="1">
      <c r="B394" s="42"/>
      <c r="C394" s="43"/>
      <c r="D394" s="39" t="str">
        <f>Envios[Codigo]</f>
        <v/>
      </c>
      <c r="E394" s="40"/>
    </row>
    <row r="395" ht="22.5" customHeight="1">
      <c r="B395" s="42"/>
      <c r="C395" s="43"/>
      <c r="D395" s="39" t="str">
        <f>Envios[Codigo]</f>
        <v/>
      </c>
      <c r="E395" s="40"/>
    </row>
    <row r="396" ht="22.5" customHeight="1">
      <c r="B396" s="42"/>
      <c r="C396" s="43"/>
      <c r="D396" s="39" t="str">
        <f>Envios[Codigo]</f>
        <v/>
      </c>
      <c r="E396" s="40"/>
    </row>
    <row r="397" ht="22.5" customHeight="1">
      <c r="B397" s="42"/>
      <c r="C397" s="43"/>
      <c r="D397" s="39" t="str">
        <f>Envios[Codigo]</f>
        <v/>
      </c>
      <c r="E397" s="40"/>
    </row>
    <row r="398" ht="22.5" customHeight="1">
      <c r="B398" s="42"/>
      <c r="C398" s="43"/>
      <c r="D398" s="39" t="str">
        <f>Envios[Codigo]</f>
        <v/>
      </c>
      <c r="E398" s="40"/>
    </row>
    <row r="399" ht="22.5" customHeight="1">
      <c r="B399" s="42"/>
      <c r="C399" s="43"/>
      <c r="D399" s="39" t="str">
        <f>Envios[Codigo]</f>
        <v/>
      </c>
      <c r="E399" s="40"/>
    </row>
    <row r="400" ht="22.5" customHeight="1">
      <c r="B400" s="42"/>
      <c r="C400" s="43"/>
      <c r="D400" s="39" t="str">
        <f>Envios[Codigo]</f>
        <v/>
      </c>
      <c r="E400" s="40"/>
    </row>
    <row r="401" ht="22.5" customHeight="1">
      <c r="B401" s="42"/>
      <c r="C401" s="43"/>
      <c r="D401" s="39" t="str">
        <f>Envios[Codigo]</f>
        <v/>
      </c>
      <c r="E401" s="40"/>
    </row>
    <row r="402" ht="22.5" customHeight="1">
      <c r="B402" s="42"/>
      <c r="C402" s="43"/>
      <c r="D402" s="39" t="str">
        <f>Envios[Codigo]</f>
        <v/>
      </c>
      <c r="E402" s="40"/>
    </row>
    <row r="403" ht="22.5" customHeight="1">
      <c r="B403" s="42"/>
      <c r="C403" s="43"/>
      <c r="D403" s="39" t="str">
        <f>Envios[Codigo]</f>
        <v/>
      </c>
      <c r="E403" s="40"/>
    </row>
    <row r="404" ht="22.5" customHeight="1">
      <c r="B404" s="42"/>
      <c r="C404" s="43"/>
      <c r="D404" s="39" t="str">
        <f>Envios[Codigo]</f>
        <v/>
      </c>
      <c r="E404" s="40"/>
    </row>
    <row r="405" ht="22.5" customHeight="1">
      <c r="B405" s="42"/>
      <c r="C405" s="43"/>
      <c r="D405" s="39" t="str">
        <f>Envios[Codigo]</f>
        <v/>
      </c>
      <c r="E405" s="40"/>
    </row>
    <row r="406" ht="22.5" customHeight="1">
      <c r="B406" s="42"/>
      <c r="C406" s="43"/>
      <c r="D406" s="39" t="str">
        <f>Envios[Codigo]</f>
        <v/>
      </c>
      <c r="E406" s="40"/>
    </row>
    <row r="407" ht="22.5" customHeight="1">
      <c r="B407" s="42"/>
      <c r="C407" s="43"/>
      <c r="D407" s="39" t="str">
        <f>Envios[Codigo]</f>
        <v/>
      </c>
      <c r="E407" s="40"/>
    </row>
    <row r="408" ht="22.5" customHeight="1">
      <c r="B408" s="42"/>
      <c r="C408" s="43"/>
      <c r="D408" s="39" t="str">
        <f>Envios[Codigo]</f>
        <v/>
      </c>
      <c r="E408" s="40"/>
    </row>
    <row r="409" ht="22.5" customHeight="1">
      <c r="B409" s="42"/>
      <c r="C409" s="43"/>
      <c r="D409" s="39" t="str">
        <f>Envios[Codigo]</f>
        <v/>
      </c>
      <c r="E409" s="40"/>
    </row>
    <row r="410" ht="22.5" customHeight="1">
      <c r="B410" s="42"/>
      <c r="C410" s="43"/>
      <c r="D410" s="39" t="str">
        <f>Envios[Codigo]</f>
        <v/>
      </c>
      <c r="E410" s="40"/>
    </row>
    <row r="411" ht="22.5" customHeight="1">
      <c r="B411" s="42"/>
      <c r="C411" s="43"/>
      <c r="D411" s="39" t="str">
        <f>Envios[Codigo]</f>
        <v/>
      </c>
      <c r="E411" s="40"/>
    </row>
    <row r="412" ht="22.5" customHeight="1">
      <c r="B412" s="42"/>
      <c r="C412" s="43"/>
      <c r="D412" s="39" t="str">
        <f>Envios[Codigo]</f>
        <v/>
      </c>
      <c r="E412" s="40"/>
    </row>
    <row r="413" ht="22.5" customHeight="1">
      <c r="B413" s="42"/>
      <c r="C413" s="43"/>
      <c r="D413" s="39" t="str">
        <f>Envios[Codigo]</f>
        <v/>
      </c>
      <c r="E413" s="40"/>
    </row>
    <row r="414" ht="22.5" customHeight="1">
      <c r="B414" s="42"/>
      <c r="C414" s="43"/>
      <c r="D414" s="39" t="str">
        <f>Envios[Codigo]</f>
        <v/>
      </c>
      <c r="E414" s="40"/>
    </row>
    <row r="415" ht="22.5" customHeight="1">
      <c r="B415" s="42"/>
      <c r="C415" s="43"/>
      <c r="D415" s="39" t="str">
        <f>Envios[Codigo]</f>
        <v/>
      </c>
      <c r="E415" s="40"/>
    </row>
    <row r="416" ht="22.5" customHeight="1">
      <c r="B416" s="42"/>
      <c r="C416" s="43"/>
      <c r="D416" s="39" t="str">
        <f>Envios[Codigo]</f>
        <v/>
      </c>
      <c r="E416" s="40"/>
    </row>
  </sheetData>
  <dataValidations>
    <dataValidation type="custom" allowBlank="1" showDropDown="1" sqref="B3:B416">
      <formula1>OR(NOT(ISERROR(DATEVALUE(B3))), AND(ISNUMBER(B3), LEFT(CELL("format", B3))="D"))</formula1>
    </dataValidation>
    <dataValidation type="list" allowBlank="1" sqref="C3:C416">
      <formula1>"Calcio 4 pcs,Calcio 8 pcs,Calcio 15 pcs,125 Blister 2 euro,125 Blister 1 euro,125 Blister 50 cts,125 Blister 20 cts,125 Blister 10 cts,125 Blister 5 cts,125 Blister 2 cts,125 Blister 1 cts,250 pack 1e + 2 e,250 Blister 1e,200 Mix blister,400 Mix blister,P"&amp;"eonza pack tradi (52mm),Peonza pack mini (48mm),Peonza pack boligrafo,Pack 126 ceras,Caja 50 pack 4 lapices,Caja 25 pack 6 lapices,Solo tubo Flexi Vox (transparente),Solo tubo Flexi Vox (rojo),Solo tubo Flexi Vox (negro),Set Flexi Vox (transparente),Set F"&amp;"lexi Vox (rojo),Set Flexi Vox (negro),200g Menú Junior,Menu grande,75g Gammarus,300g Gammarus,150g Calcio en polvo,250g Calcio en polvo,175g Gusanos de la harina,300g Gusanos de la harina,800g Gusanos de la harina,Pegatina caja envio,1000g Larvas mosca,90"&amp;"0g Menú Sticks,1500g Menú Sticks"</formula1>
    </dataValidation>
  </dataValidations>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88"/>
    <col customWidth="1" min="5" max="5" width="25.0"/>
    <col customWidth="1" min="9" max="9" width="14.88"/>
  </cols>
  <sheetData>
    <row r="2">
      <c r="B2" s="3" t="s">
        <v>280</v>
      </c>
      <c r="C2" s="82">
        <f>SUM(C3:C110)</f>
        <v>44670.11812</v>
      </c>
      <c r="E2" s="3" t="s">
        <v>281</v>
      </c>
      <c r="F2" s="82">
        <f>SUM(F3:F63)</f>
        <v>7290.169091</v>
      </c>
      <c r="H2" s="83">
        <f>F2-C2</f>
        <v>-37379.94902</v>
      </c>
    </row>
    <row r="3">
      <c r="B3" s="3" t="s">
        <v>282</v>
      </c>
      <c r="C3" s="3">
        <v>380.1</v>
      </c>
      <c r="E3" s="3" t="s">
        <v>283</v>
      </c>
      <c r="F3" s="84">
        <f>7.5+1.5</f>
        <v>9</v>
      </c>
    </row>
    <row r="4">
      <c r="B4" s="3" t="s">
        <v>284</v>
      </c>
      <c r="C4" s="3">
        <v>15.7</v>
      </c>
      <c r="E4" s="3" t="s">
        <v>285</v>
      </c>
      <c r="F4" s="3">
        <v>6.0</v>
      </c>
    </row>
    <row r="5">
      <c r="B5" s="3" t="s">
        <v>286</v>
      </c>
      <c r="C5" s="3">
        <v>30.0</v>
      </c>
      <c r="E5" s="3" t="s">
        <v>287</v>
      </c>
      <c r="F5" s="3">
        <v>1500.0</v>
      </c>
    </row>
    <row r="6">
      <c r="B6" s="3" t="s">
        <v>288</v>
      </c>
      <c r="C6" s="3">
        <v>20.0</v>
      </c>
      <c r="E6" s="3" t="s">
        <v>289</v>
      </c>
      <c r="F6" s="3">
        <v>1500.0</v>
      </c>
    </row>
    <row r="7">
      <c r="B7" s="3" t="s">
        <v>286</v>
      </c>
      <c r="C7" s="3">
        <v>6.25</v>
      </c>
      <c r="E7" s="3" t="s">
        <v>290</v>
      </c>
      <c r="F7" s="3">
        <v>1500.0</v>
      </c>
    </row>
    <row r="8">
      <c r="B8" s="3" t="s">
        <v>291</v>
      </c>
      <c r="C8" s="3">
        <v>35.7</v>
      </c>
      <c r="E8" s="3" t="s">
        <v>292</v>
      </c>
      <c r="F8" s="3">
        <v>1500.0</v>
      </c>
    </row>
    <row r="9">
      <c r="B9" s="3" t="s">
        <v>293</v>
      </c>
      <c r="C9" s="3">
        <v>20.0</v>
      </c>
      <c r="E9" s="3" t="s">
        <v>294</v>
      </c>
      <c r="F9" s="3">
        <v>3.55</v>
      </c>
    </row>
    <row r="10">
      <c r="B10" s="3" t="s">
        <v>295</v>
      </c>
      <c r="C10" s="84">
        <f>725/2</f>
        <v>362.5</v>
      </c>
      <c r="E10" s="3" t="s">
        <v>284</v>
      </c>
      <c r="F10" s="84">
        <f>7.3+1.6+1.5</f>
        <v>10.4</v>
      </c>
    </row>
    <row r="11">
      <c r="B11" s="3" t="s">
        <v>296</v>
      </c>
      <c r="C11" s="84">
        <f>110/2</f>
        <v>55</v>
      </c>
      <c r="E11" s="3" t="s">
        <v>297</v>
      </c>
      <c r="F11" s="3">
        <v>1500.0</v>
      </c>
    </row>
    <row r="12">
      <c r="B12" s="3" t="s">
        <v>298</v>
      </c>
      <c r="C12" s="84">
        <f>20.95+3.45</f>
        <v>24.4</v>
      </c>
      <c r="E12" s="3" t="s">
        <v>299</v>
      </c>
      <c r="F12" s="3">
        <v>750.0</v>
      </c>
    </row>
    <row r="13">
      <c r="B13" s="3" t="s">
        <v>300</v>
      </c>
      <c r="C13" s="3">
        <v>45.72</v>
      </c>
      <c r="E13" s="3" t="s">
        <v>301</v>
      </c>
      <c r="F13" s="85">
        <f>1500-(1500/22)</f>
        <v>1431.818182</v>
      </c>
    </row>
    <row r="14">
      <c r="B14" s="3" t="s">
        <v>302</v>
      </c>
      <c r="C14" s="3">
        <f>711.5</f>
        <v>711.5</v>
      </c>
      <c r="E14" s="3" t="s">
        <v>303</v>
      </c>
      <c r="F14" s="85">
        <f>1500-(1500/22)*5</f>
        <v>1159.090909</v>
      </c>
    </row>
    <row r="15">
      <c r="B15" s="3" t="s">
        <v>304</v>
      </c>
      <c r="C15" s="3">
        <v>-76.16</v>
      </c>
      <c r="E15" s="3" t="s">
        <v>305</v>
      </c>
      <c r="F15" s="84">
        <f>100*3.15</f>
        <v>315</v>
      </c>
    </row>
    <row r="16">
      <c r="B16" s="3" t="s">
        <v>306</v>
      </c>
      <c r="C16" s="3">
        <v>40.0</v>
      </c>
      <c r="E16" s="3" t="s">
        <v>307</v>
      </c>
      <c r="F16" s="3">
        <v>20.0</v>
      </c>
    </row>
    <row r="17">
      <c r="B17" s="3" t="s">
        <v>308</v>
      </c>
      <c r="C17" s="3">
        <v>534.0</v>
      </c>
      <c r="D17" s="3" t="s">
        <v>309</v>
      </c>
      <c r="E17" s="3" t="s">
        <v>310</v>
      </c>
      <c r="F17" s="86">
        <v>160.31</v>
      </c>
    </row>
    <row r="18">
      <c r="B18" s="3" t="s">
        <v>311</v>
      </c>
      <c r="C18" s="3">
        <v>20.0</v>
      </c>
      <c r="E18" s="3" t="s">
        <v>312</v>
      </c>
      <c r="F18" s="3">
        <v>-4200.0</v>
      </c>
    </row>
    <row r="19">
      <c r="B19" s="3" t="s">
        <v>276</v>
      </c>
      <c r="C19" s="3">
        <v>23.63</v>
      </c>
      <c r="E19" s="3" t="s">
        <v>313</v>
      </c>
      <c r="F19" s="84">
        <f>1500/8*6</f>
        <v>1125</v>
      </c>
      <c r="H19" s="3" t="s">
        <v>314</v>
      </c>
      <c r="I19" s="84">
        <f>6000+13055+7075+5405+762+779</f>
        <v>33076</v>
      </c>
    </row>
    <row r="20">
      <c r="B20" s="3" t="s">
        <v>315</v>
      </c>
      <c r="C20" s="3">
        <v>4.62</v>
      </c>
      <c r="E20" s="3" t="s">
        <v>316</v>
      </c>
      <c r="F20" s="3">
        <v>-1000.0</v>
      </c>
    </row>
    <row r="21">
      <c r="B21" s="3" t="s">
        <v>317</v>
      </c>
      <c r="C21" s="3">
        <v>2.64</v>
      </c>
    </row>
    <row r="22">
      <c r="B22" s="3" t="s">
        <v>318</v>
      </c>
      <c r="C22" s="3">
        <v>2.64</v>
      </c>
    </row>
    <row r="23">
      <c r="B23" s="3" t="s">
        <v>319</v>
      </c>
      <c r="C23" s="3">
        <v>2.64</v>
      </c>
    </row>
    <row r="24">
      <c r="B24" s="3" t="s">
        <v>286</v>
      </c>
      <c r="C24" s="3">
        <v>8.0</v>
      </c>
    </row>
    <row r="25">
      <c r="B25" s="3" t="s">
        <v>320</v>
      </c>
      <c r="C25" s="3">
        <v>14.58</v>
      </c>
    </row>
    <row r="26">
      <c r="B26" s="3" t="s">
        <v>318</v>
      </c>
      <c r="C26" s="3">
        <v>2.64</v>
      </c>
    </row>
    <row r="27">
      <c r="B27" s="3" t="s">
        <v>321</v>
      </c>
      <c r="C27" s="3">
        <v>14.87</v>
      </c>
      <c r="D27" s="3" t="s">
        <v>309</v>
      </c>
    </row>
    <row r="28">
      <c r="B28" s="3" t="s">
        <v>322</v>
      </c>
      <c r="C28" s="3">
        <v>20.0</v>
      </c>
    </row>
    <row r="29">
      <c r="B29" s="3" t="s">
        <v>323</v>
      </c>
      <c r="C29" s="3">
        <v>29.61</v>
      </c>
      <c r="D29" s="3" t="s">
        <v>309</v>
      </c>
    </row>
    <row r="30">
      <c r="B30" s="3" t="s">
        <v>324</v>
      </c>
      <c r="C30" s="3">
        <v>41.32</v>
      </c>
    </row>
    <row r="31">
      <c r="B31" s="3" t="s">
        <v>325</v>
      </c>
      <c r="C31" s="3">
        <v>140.4</v>
      </c>
      <c r="D31" s="3" t="s">
        <v>309</v>
      </c>
    </row>
    <row r="32">
      <c r="B32" s="3" t="s">
        <v>326</v>
      </c>
      <c r="C32" s="3">
        <v>350.0</v>
      </c>
      <c r="D32" s="3" t="s">
        <v>327</v>
      </c>
    </row>
    <row r="33">
      <c r="B33" s="3" t="s">
        <v>328</v>
      </c>
      <c r="C33" s="3">
        <v>173.25</v>
      </c>
      <c r="D33" s="3" t="s">
        <v>327</v>
      </c>
    </row>
    <row r="34">
      <c r="B34" s="3" t="s">
        <v>329</v>
      </c>
      <c r="C34" s="3">
        <v>398.25</v>
      </c>
      <c r="D34" s="3" t="s">
        <v>327</v>
      </c>
    </row>
    <row r="35">
      <c r="B35" s="3" t="s">
        <v>330</v>
      </c>
      <c r="C35" s="3">
        <v>50.55</v>
      </c>
      <c r="D35" s="3" t="s">
        <v>309</v>
      </c>
    </row>
    <row r="36">
      <c r="B36" s="3" t="s">
        <v>331</v>
      </c>
      <c r="C36" s="3">
        <v>58.29</v>
      </c>
      <c r="D36" s="3" t="s">
        <v>309</v>
      </c>
    </row>
    <row r="37">
      <c r="B37" s="3" t="s">
        <v>332</v>
      </c>
      <c r="C37" s="3">
        <v>200.0</v>
      </c>
      <c r="D37" s="3" t="s">
        <v>309</v>
      </c>
      <c r="E37" s="3" t="s">
        <v>333</v>
      </c>
    </row>
    <row r="38">
      <c r="B38" s="3" t="s">
        <v>334</v>
      </c>
      <c r="C38" s="3">
        <v>452.74</v>
      </c>
      <c r="D38" s="3" t="s">
        <v>309</v>
      </c>
    </row>
    <row r="39">
      <c r="B39" s="3" t="s">
        <v>335</v>
      </c>
      <c r="C39" s="3">
        <v>146.64</v>
      </c>
      <c r="D39" s="3" t="s">
        <v>309</v>
      </c>
    </row>
    <row r="40">
      <c r="B40" s="3" t="s">
        <v>336</v>
      </c>
      <c r="C40" s="3">
        <v>1260.0</v>
      </c>
      <c r="D40" s="3" t="s">
        <v>309</v>
      </c>
    </row>
    <row r="41">
      <c r="B41" s="3" t="s">
        <v>337</v>
      </c>
      <c r="C41" s="3">
        <v>9.39</v>
      </c>
      <c r="D41" s="3" t="s">
        <v>309</v>
      </c>
    </row>
    <row r="42">
      <c r="B42" s="3" t="s">
        <v>338</v>
      </c>
      <c r="C42" s="3">
        <v>12.73</v>
      </c>
    </row>
    <row r="43">
      <c r="B43" s="3" t="s">
        <v>339</v>
      </c>
      <c r="C43" s="3">
        <v>341.97</v>
      </c>
      <c r="D43" s="3" t="s">
        <v>309</v>
      </c>
    </row>
    <row r="44">
      <c r="B44" s="3" t="s">
        <v>340</v>
      </c>
      <c r="C44" s="3">
        <v>180.0</v>
      </c>
      <c r="D44" s="3" t="s">
        <v>309</v>
      </c>
    </row>
    <row r="45">
      <c r="B45" s="3" t="s">
        <v>341</v>
      </c>
      <c r="C45" s="3">
        <v>315.0</v>
      </c>
      <c r="D45" s="3" t="s">
        <v>309</v>
      </c>
      <c r="E45" s="3" t="s">
        <v>342</v>
      </c>
    </row>
    <row r="46">
      <c r="B46" s="3" t="s">
        <v>343</v>
      </c>
      <c r="C46" s="3">
        <v>265.0</v>
      </c>
      <c r="D46" s="3" t="s">
        <v>309</v>
      </c>
    </row>
    <row r="47">
      <c r="B47" s="3" t="s">
        <v>344</v>
      </c>
      <c r="C47" s="3">
        <v>200.0</v>
      </c>
      <c r="D47" s="3" t="s">
        <v>309</v>
      </c>
      <c r="E47" s="3" t="s">
        <v>345</v>
      </c>
    </row>
    <row r="48">
      <c r="B48" s="3" t="s">
        <v>346</v>
      </c>
      <c r="C48" s="87">
        <v>1597.67</v>
      </c>
      <c r="D48" s="3" t="s">
        <v>309</v>
      </c>
    </row>
    <row r="49">
      <c r="B49" s="3" t="s">
        <v>346</v>
      </c>
      <c r="C49" s="87">
        <v>645.12</v>
      </c>
      <c r="D49" s="3" t="s">
        <v>309</v>
      </c>
      <c r="E49" s="70" t="s">
        <v>347</v>
      </c>
    </row>
    <row r="50">
      <c r="B50" s="3" t="s">
        <v>348</v>
      </c>
      <c r="C50" s="87">
        <v>1517.79</v>
      </c>
      <c r="D50" s="3" t="s">
        <v>309</v>
      </c>
      <c r="E50" s="70" t="s">
        <v>349</v>
      </c>
    </row>
    <row r="51">
      <c r="B51" s="3" t="s">
        <v>348</v>
      </c>
      <c r="C51" s="87">
        <v>-1597.67</v>
      </c>
      <c r="D51" s="3" t="s">
        <v>309</v>
      </c>
    </row>
    <row r="52">
      <c r="B52" s="3" t="s">
        <v>350</v>
      </c>
      <c r="C52" s="3">
        <v>-32.26</v>
      </c>
      <c r="D52" s="3" t="s">
        <v>309</v>
      </c>
      <c r="E52" s="3" t="s">
        <v>351</v>
      </c>
    </row>
    <row r="53">
      <c r="B53" s="3" t="s">
        <v>352</v>
      </c>
      <c r="C53" s="3">
        <v>612.0</v>
      </c>
      <c r="D53" s="3" t="s">
        <v>309</v>
      </c>
      <c r="E53" s="3" t="s">
        <v>353</v>
      </c>
    </row>
    <row r="54">
      <c r="B54" s="3" t="s">
        <v>354</v>
      </c>
      <c r="C54" s="87">
        <v>1838.81</v>
      </c>
      <c r="D54" s="3" t="s">
        <v>309</v>
      </c>
    </row>
    <row r="55">
      <c r="B55" s="3" t="s">
        <v>355</v>
      </c>
      <c r="C55" s="3">
        <v>1013.0</v>
      </c>
      <c r="D55" s="3" t="s">
        <v>309</v>
      </c>
    </row>
    <row r="56">
      <c r="B56" s="3" t="s">
        <v>356</v>
      </c>
      <c r="C56" s="3">
        <v>1034.1</v>
      </c>
      <c r="D56" s="3" t="s">
        <v>309</v>
      </c>
      <c r="E56" s="3" t="s">
        <v>357</v>
      </c>
    </row>
    <row r="57">
      <c r="B57" s="3" t="s">
        <v>358</v>
      </c>
      <c r="C57" s="3">
        <f t="shared" ref="C57:C58" si="1">200*3.15</f>
        <v>630</v>
      </c>
      <c r="D57" s="3" t="s">
        <v>309</v>
      </c>
      <c r="E57" s="3" t="s">
        <v>342</v>
      </c>
    </row>
    <row r="58">
      <c r="B58" s="3" t="s">
        <v>359</v>
      </c>
      <c r="C58" s="3">
        <f t="shared" si="1"/>
        <v>630</v>
      </c>
      <c r="D58" s="3" t="s">
        <v>309</v>
      </c>
      <c r="E58" s="3" t="s">
        <v>342</v>
      </c>
    </row>
    <row r="59">
      <c r="B59" s="3" t="s">
        <v>360</v>
      </c>
      <c r="C59" s="3">
        <v>612.0</v>
      </c>
      <c r="D59" s="3" t="s">
        <v>309</v>
      </c>
      <c r="E59" s="3" t="s">
        <v>361</v>
      </c>
    </row>
    <row r="60">
      <c r="B60" s="3" t="s">
        <v>362</v>
      </c>
      <c r="C60" s="3">
        <v>3.34</v>
      </c>
      <c r="D60" s="3" t="s">
        <v>309</v>
      </c>
    </row>
    <row r="61">
      <c r="B61" s="3" t="s">
        <v>363</v>
      </c>
      <c r="C61" s="3">
        <v>534.0</v>
      </c>
      <c r="D61" s="3" t="s">
        <v>309</v>
      </c>
    </row>
    <row r="62">
      <c r="B62" s="3" t="s">
        <v>335</v>
      </c>
      <c r="C62" s="3">
        <v>61.02</v>
      </c>
      <c r="D62" s="3" t="s">
        <v>309</v>
      </c>
    </row>
    <row r="63">
      <c r="B63" s="3" t="s">
        <v>364</v>
      </c>
      <c r="C63" s="3">
        <v>190.0</v>
      </c>
    </row>
    <row r="64">
      <c r="B64" s="3" t="s">
        <v>365</v>
      </c>
      <c r="C64" s="87">
        <v>2130.65</v>
      </c>
      <c r="D64" s="3" t="s">
        <v>309</v>
      </c>
      <c r="E64" s="3" t="s">
        <v>366</v>
      </c>
    </row>
    <row r="65">
      <c r="B65" s="3" t="s">
        <v>367</v>
      </c>
      <c r="C65" s="87">
        <v>828.0</v>
      </c>
      <c r="D65" s="3" t="s">
        <v>309</v>
      </c>
    </row>
    <row r="66">
      <c r="B66" s="3" t="s">
        <v>368</v>
      </c>
      <c r="C66" s="3">
        <v>50.0</v>
      </c>
    </row>
    <row r="67">
      <c r="B67" s="3" t="s">
        <v>369</v>
      </c>
      <c r="C67" s="3">
        <v>50.0</v>
      </c>
      <c r="D67" s="3" t="s">
        <v>309</v>
      </c>
    </row>
    <row r="68">
      <c r="B68" s="3" t="s">
        <v>370</v>
      </c>
      <c r="C68" s="3">
        <v>58.29</v>
      </c>
      <c r="D68" s="3" t="s">
        <v>309</v>
      </c>
    </row>
    <row r="69">
      <c r="B69" s="3" t="s">
        <v>371</v>
      </c>
      <c r="C69" s="3">
        <v>168.64</v>
      </c>
      <c r="D69" s="3" t="s">
        <v>309</v>
      </c>
      <c r="E69" s="3" t="s">
        <v>372</v>
      </c>
    </row>
    <row r="70">
      <c r="B70" s="3" t="s">
        <v>373</v>
      </c>
      <c r="C70" s="3">
        <v>306.0</v>
      </c>
      <c r="D70" s="3" t="s">
        <v>309</v>
      </c>
    </row>
    <row r="71">
      <c r="B71" s="3" t="s">
        <v>374</v>
      </c>
      <c r="C71" s="3">
        <v>504.07</v>
      </c>
      <c r="D71" s="3" t="s">
        <v>309</v>
      </c>
    </row>
    <row r="72">
      <c r="B72" s="3" t="s">
        <v>375</v>
      </c>
      <c r="C72" s="3">
        <v>-1.57</v>
      </c>
      <c r="D72" s="3" t="s">
        <v>309</v>
      </c>
    </row>
    <row r="73">
      <c r="B73" s="3" t="s">
        <v>376</v>
      </c>
      <c r="C73" s="3">
        <v>-22.75</v>
      </c>
      <c r="D73" s="3" t="s">
        <v>309</v>
      </c>
    </row>
    <row r="74">
      <c r="B74" s="3" t="s">
        <v>377</v>
      </c>
      <c r="C74" s="3">
        <v>320.0</v>
      </c>
      <c r="D74" s="3" t="s">
        <v>309</v>
      </c>
      <c r="E74" s="3" t="s">
        <v>378</v>
      </c>
    </row>
    <row r="75">
      <c r="B75" s="3" t="s">
        <v>379</v>
      </c>
      <c r="C75" s="3">
        <v>727.5</v>
      </c>
      <c r="D75" s="3" t="s">
        <v>309</v>
      </c>
      <c r="E75" s="3" t="s">
        <v>380</v>
      </c>
    </row>
    <row r="76">
      <c r="B76" s="3" t="s">
        <v>381</v>
      </c>
      <c r="C76" s="84">
        <f>18*2*3.15</f>
        <v>113.4</v>
      </c>
      <c r="D76" s="3" t="s">
        <v>309</v>
      </c>
      <c r="E76" s="3" t="s">
        <v>342</v>
      </c>
    </row>
    <row r="77">
      <c r="B77" s="3" t="s">
        <v>382</v>
      </c>
      <c r="C77" s="3">
        <v>48.92</v>
      </c>
      <c r="D77" s="3" t="s">
        <v>383</v>
      </c>
    </row>
    <row r="78">
      <c r="B78" s="3" t="s">
        <v>384</v>
      </c>
      <c r="C78" s="3">
        <v>304.39</v>
      </c>
      <c r="D78" s="3" t="s">
        <v>309</v>
      </c>
    </row>
    <row r="79">
      <c r="B79" s="3" t="s">
        <v>385</v>
      </c>
      <c r="C79" s="3">
        <v>775.8</v>
      </c>
      <c r="D79" s="3" t="s">
        <v>309</v>
      </c>
    </row>
    <row r="80">
      <c r="B80" s="3" t="s">
        <v>386</v>
      </c>
      <c r="C80" s="3">
        <v>41.28</v>
      </c>
      <c r="D80" s="3" t="s">
        <v>383</v>
      </c>
    </row>
    <row r="81">
      <c r="B81" s="3" t="s">
        <v>387</v>
      </c>
      <c r="C81" s="3">
        <v>200.0</v>
      </c>
      <c r="D81" s="3" t="s">
        <v>309</v>
      </c>
      <c r="E81" s="3" t="s">
        <v>388</v>
      </c>
    </row>
    <row r="82">
      <c r="B82" s="3" t="s">
        <v>389</v>
      </c>
      <c r="C82" s="3">
        <v>834.24</v>
      </c>
      <c r="D82" s="3" t="s">
        <v>309</v>
      </c>
      <c r="E82" s="3" t="s">
        <v>388</v>
      </c>
    </row>
    <row r="83">
      <c r="B83" s="3" t="s">
        <v>390</v>
      </c>
      <c r="C83" s="3">
        <v>58.29</v>
      </c>
      <c r="D83" s="3" t="s">
        <v>309</v>
      </c>
    </row>
    <row r="84">
      <c r="B84" s="3" t="s">
        <v>391</v>
      </c>
      <c r="C84" s="3">
        <v>1439.42</v>
      </c>
      <c r="D84" s="3" t="s">
        <v>309</v>
      </c>
    </row>
    <row r="85">
      <c r="B85" s="3" t="s">
        <v>392</v>
      </c>
      <c r="C85" s="3">
        <v>168.64</v>
      </c>
      <c r="D85" s="3" t="s">
        <v>309</v>
      </c>
      <c r="E85" s="3" t="s">
        <v>393</v>
      </c>
    </row>
    <row r="86">
      <c r="B86" s="3" t="s">
        <v>394</v>
      </c>
      <c r="C86" s="44">
        <f>10.8/1.21</f>
        <v>8.925619835</v>
      </c>
      <c r="D86" s="3" t="s">
        <v>309</v>
      </c>
    </row>
    <row r="87">
      <c r="B87" s="3" t="s">
        <v>395</v>
      </c>
      <c r="C87" s="3">
        <v>80.0</v>
      </c>
      <c r="D87" s="3" t="s">
        <v>309</v>
      </c>
    </row>
    <row r="88">
      <c r="B88" s="3" t="s">
        <v>396</v>
      </c>
      <c r="C88" s="3">
        <v>2475.6</v>
      </c>
      <c r="D88" s="3" t="s">
        <v>309</v>
      </c>
      <c r="E88" s="3" t="s">
        <v>397</v>
      </c>
    </row>
    <row r="89">
      <c r="B89" s="3" t="s">
        <v>398</v>
      </c>
      <c r="C89" s="3">
        <v>2744.09</v>
      </c>
      <c r="D89" s="3" t="s">
        <v>309</v>
      </c>
    </row>
    <row r="90">
      <c r="B90" s="3" t="s">
        <v>399</v>
      </c>
      <c r="C90" s="84">
        <f>3.15*504</f>
        <v>1587.6</v>
      </c>
      <c r="D90" s="3" t="s">
        <v>309</v>
      </c>
    </row>
    <row r="91">
      <c r="B91" s="3" t="s">
        <v>400</v>
      </c>
      <c r="C91" s="87">
        <v>4256.55</v>
      </c>
      <c r="D91" s="3" t="s">
        <v>309</v>
      </c>
      <c r="E91" s="3" t="s">
        <v>401</v>
      </c>
    </row>
    <row r="92">
      <c r="B92" s="3" t="s">
        <v>402</v>
      </c>
      <c r="C92" s="3">
        <v>120.0</v>
      </c>
      <c r="D92" s="3" t="s">
        <v>309</v>
      </c>
    </row>
    <row r="93">
      <c r="B93" s="3" t="s">
        <v>403</v>
      </c>
      <c r="C93" s="87">
        <v>1628.88</v>
      </c>
      <c r="D93" s="3" t="s">
        <v>309</v>
      </c>
    </row>
    <row r="94">
      <c r="B94" s="3" t="s">
        <v>404</v>
      </c>
      <c r="C94" s="3">
        <v>-85.72</v>
      </c>
      <c r="D94" s="3" t="s">
        <v>309</v>
      </c>
      <c r="E94" s="3"/>
    </row>
    <row r="95">
      <c r="B95" s="3" t="s">
        <v>405</v>
      </c>
      <c r="C95" s="3">
        <v>1025.0</v>
      </c>
      <c r="D95" s="3" t="s">
        <v>383</v>
      </c>
      <c r="E95" s="3" t="s">
        <v>406</v>
      </c>
    </row>
    <row r="96">
      <c r="B96" s="3" t="s">
        <v>407</v>
      </c>
      <c r="C96" s="3">
        <v>-12.61</v>
      </c>
      <c r="D96" s="3" t="s">
        <v>309</v>
      </c>
    </row>
    <row r="97">
      <c r="B97" s="3" t="s">
        <v>394</v>
      </c>
      <c r="C97" s="88">
        <f>28/1.21</f>
        <v>23.14049587</v>
      </c>
      <c r="D97" s="3" t="s">
        <v>309</v>
      </c>
    </row>
    <row r="98">
      <c r="B98" s="3" t="s">
        <v>408</v>
      </c>
      <c r="C98" s="84">
        <f>3.15*14*18</f>
        <v>793.8</v>
      </c>
      <c r="D98" s="3" t="s">
        <v>383</v>
      </c>
      <c r="E98" s="3" t="s">
        <v>409</v>
      </c>
      <c r="G98" s="3" t="s">
        <v>410</v>
      </c>
    </row>
    <row r="99">
      <c r="B99" s="3" t="s">
        <v>411</v>
      </c>
      <c r="C99" s="84">
        <f>500.12-12.61</f>
        <v>487.51</v>
      </c>
      <c r="D99" s="3" t="s">
        <v>309</v>
      </c>
    </row>
    <row r="100">
      <c r="B100" s="3" t="s">
        <v>412</v>
      </c>
      <c r="C100" s="84">
        <f>626.2</f>
        <v>626.2</v>
      </c>
      <c r="D100" s="3" t="s">
        <v>309</v>
      </c>
    </row>
    <row r="101">
      <c r="B101" s="3" t="s">
        <v>413</v>
      </c>
      <c r="C101" s="3">
        <v>200.0</v>
      </c>
      <c r="D101" s="3" t="s">
        <v>309</v>
      </c>
      <c r="E101" s="3" t="s">
        <v>414</v>
      </c>
    </row>
    <row r="102">
      <c r="B102" s="3" t="s">
        <v>415</v>
      </c>
      <c r="C102" s="44">
        <f>1.7*0.98*8*24</f>
        <v>319.872</v>
      </c>
      <c r="D102" s="3" t="s">
        <v>309</v>
      </c>
    </row>
    <row r="103">
      <c r="B103" s="3" t="s">
        <v>416</v>
      </c>
      <c r="C103" s="86">
        <v>232.5</v>
      </c>
      <c r="D103" s="3" t="s">
        <v>383</v>
      </c>
      <c r="E103" s="3" t="s">
        <v>417</v>
      </c>
    </row>
    <row r="104">
      <c r="B104" s="3" t="s">
        <v>418</v>
      </c>
      <c r="C104" s="84">
        <f>-3.15*15</f>
        <v>-47.25</v>
      </c>
    </row>
    <row r="105">
      <c r="B105" s="3" t="s">
        <v>419</v>
      </c>
      <c r="C105" s="3">
        <f>350/2*3</f>
        <v>525</v>
      </c>
      <c r="D105" s="3" t="s">
        <v>309</v>
      </c>
    </row>
    <row r="106">
      <c r="B106" s="3" t="s">
        <v>420</v>
      </c>
      <c r="C106" s="3">
        <v>253.0</v>
      </c>
      <c r="D106" s="3" t="s">
        <v>309</v>
      </c>
    </row>
    <row r="107">
      <c r="B107" s="3" t="s">
        <v>421</v>
      </c>
      <c r="C107" s="84">
        <f>-18*3.15</f>
        <v>-56.7</v>
      </c>
    </row>
    <row r="108">
      <c r="B108" s="3" t="s">
        <v>422</v>
      </c>
      <c r="C108" s="3">
        <v>59.49</v>
      </c>
    </row>
    <row r="109">
      <c r="B109" s="3" t="s">
        <v>423</v>
      </c>
      <c r="C109" s="87">
        <v>1025.0</v>
      </c>
      <c r="D109" s="3" t="s">
        <v>309</v>
      </c>
      <c r="E109" s="3" t="s">
        <v>424</v>
      </c>
    </row>
    <row r="110">
      <c r="B110" s="3" t="s">
        <v>425</v>
      </c>
      <c r="C110" s="3">
        <v>1062.0</v>
      </c>
      <c r="D110" s="3" t="s">
        <v>309</v>
      </c>
    </row>
    <row r="111">
      <c r="B111" s="89" t="s">
        <v>426</v>
      </c>
      <c r="H111" s="8">
        <v>46062.0</v>
      </c>
      <c r="J111" s="3" t="s">
        <v>427</v>
      </c>
    </row>
    <row r="112">
      <c r="J112" s="3" t="s">
        <v>428</v>
      </c>
      <c r="K112" s="3" t="s">
        <v>429</v>
      </c>
    </row>
    <row r="113">
      <c r="I113" s="3" t="s">
        <v>430</v>
      </c>
      <c r="J113" s="3">
        <v>6481.96</v>
      </c>
      <c r="K113" s="3">
        <v>7594.22</v>
      </c>
    </row>
    <row r="114">
      <c r="B114" s="3" t="s">
        <v>431</v>
      </c>
      <c r="C114" s="3">
        <v>11.3</v>
      </c>
      <c r="F114" s="3" t="s">
        <v>432</v>
      </c>
      <c r="G114" s="84">
        <f>56.25*20</f>
        <v>1125</v>
      </c>
      <c r="I114" s="3" t="s">
        <v>433</v>
      </c>
      <c r="J114" s="3">
        <v>8046.17</v>
      </c>
      <c r="K114" s="3">
        <v>6476.6</v>
      </c>
    </row>
    <row r="115">
      <c r="B115" s="3" t="s">
        <v>434</v>
      </c>
      <c r="C115" s="3">
        <v>71.84</v>
      </c>
      <c r="F115" s="3" t="s">
        <v>421</v>
      </c>
      <c r="G115" s="3">
        <v>113.4</v>
      </c>
      <c r="I115" s="3" t="s">
        <v>435</v>
      </c>
      <c r="J115" s="3">
        <v>15934.71</v>
      </c>
      <c r="K115" s="3">
        <v>13440.0</v>
      </c>
    </row>
    <row r="116">
      <c r="B116" s="3" t="s">
        <v>436</v>
      </c>
      <c r="C116" s="3">
        <v>1188.67</v>
      </c>
      <c r="F116" s="3" t="s">
        <v>437</v>
      </c>
      <c r="G116" s="3">
        <v>750.0</v>
      </c>
      <c r="I116" s="3" t="s">
        <v>438</v>
      </c>
      <c r="J116" s="3">
        <v>7401.32</v>
      </c>
      <c r="K116" s="3">
        <v>5960.1</v>
      </c>
    </row>
    <row r="117">
      <c r="I117" s="3" t="s">
        <v>439</v>
      </c>
      <c r="J117" s="3">
        <v>2030.58</v>
      </c>
      <c r="K117" s="3">
        <v>1146.6</v>
      </c>
    </row>
    <row r="118">
      <c r="I118" s="3" t="s">
        <v>440</v>
      </c>
      <c r="J118" s="3">
        <v>1722.66</v>
      </c>
      <c r="K118" s="3">
        <v>1192.96</v>
      </c>
      <c r="O118" s="3" t="s">
        <v>441</v>
      </c>
    </row>
    <row r="119">
      <c r="J119" s="84">
        <f t="shared" ref="J119:K119" si="2">SUM(J113:J118)</f>
        <v>41617.4</v>
      </c>
      <c r="K119" s="84">
        <f t="shared" si="2"/>
        <v>35810.48</v>
      </c>
      <c r="L119" s="84">
        <f>SUM(J119:K119)</f>
        <v>77427.88</v>
      </c>
      <c r="N119" s="83">
        <f>L119+H2</f>
        <v>40047.93098</v>
      </c>
      <c r="O119" s="83">
        <f>N119*0.75</f>
        <v>30035.94823</v>
      </c>
    </row>
  </sheetData>
  <mergeCells count="1">
    <mergeCell ref="B111:E111"/>
  </mergeCell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25"/>
    <col customWidth="1" min="4" max="8" width="17.88"/>
  </cols>
  <sheetData>
    <row r="1">
      <c r="A1" s="88"/>
      <c r="B1" s="90" t="s">
        <v>442</v>
      </c>
      <c r="C1" s="90" t="s">
        <v>214</v>
      </c>
      <c r="D1" s="90" t="s">
        <v>443</v>
      </c>
      <c r="E1" s="90" t="s">
        <v>443</v>
      </c>
      <c r="F1" s="90" t="s">
        <v>443</v>
      </c>
      <c r="G1" s="90" t="s">
        <v>443</v>
      </c>
      <c r="H1" s="90" t="s">
        <v>443</v>
      </c>
      <c r="I1" s="90" t="s">
        <v>443</v>
      </c>
      <c r="J1" s="90" t="s">
        <v>443</v>
      </c>
      <c r="K1" s="90" t="s">
        <v>443</v>
      </c>
      <c r="L1" s="90" t="s">
        <v>443</v>
      </c>
      <c r="M1" s="90" t="s">
        <v>443</v>
      </c>
      <c r="N1" s="90" t="s">
        <v>443</v>
      </c>
      <c r="O1" s="90" t="s">
        <v>443</v>
      </c>
      <c r="P1" s="90" t="s">
        <v>443</v>
      </c>
      <c r="Q1" s="90" t="s">
        <v>443</v>
      </c>
      <c r="R1" s="90" t="s">
        <v>443</v>
      </c>
      <c r="S1" s="88"/>
      <c r="T1" s="88"/>
      <c r="U1" s="88"/>
      <c r="V1" s="88"/>
      <c r="W1" s="88"/>
      <c r="X1" s="88"/>
      <c r="Y1" s="88"/>
      <c r="Z1" s="88"/>
    </row>
    <row r="2">
      <c r="A2" s="88"/>
      <c r="B2" s="90" t="s">
        <v>5</v>
      </c>
      <c r="C2" s="90" t="s">
        <v>225</v>
      </c>
      <c r="D2" s="91">
        <f>240/364*100</f>
        <v>65.93406593</v>
      </c>
      <c r="E2" s="91">
        <f>(50/4800+170/300+50/300+10/400)*100</f>
        <v>76.875</v>
      </c>
      <c r="F2" s="91"/>
      <c r="G2" s="91"/>
      <c r="H2" s="91"/>
      <c r="I2" s="91"/>
      <c r="J2" s="91"/>
      <c r="K2" s="91"/>
      <c r="L2" s="91"/>
      <c r="M2" s="91"/>
      <c r="N2" s="91"/>
      <c r="O2" s="91"/>
      <c r="P2" s="91"/>
      <c r="Q2" s="91"/>
      <c r="R2" s="91"/>
      <c r="S2" s="88"/>
      <c r="T2" s="88"/>
      <c r="U2" s="88"/>
      <c r="V2" s="88"/>
      <c r="W2" s="88"/>
      <c r="X2" s="88"/>
      <c r="Y2" s="88"/>
      <c r="Z2" s="88"/>
    </row>
    <row r="3">
      <c r="A3" s="88"/>
      <c r="B3" s="91" t="s">
        <v>6</v>
      </c>
      <c r="C3" s="91" t="s">
        <v>228</v>
      </c>
      <c r="D3" s="91">
        <f>150/180*100</f>
        <v>83.33333333</v>
      </c>
      <c r="E3" s="91">
        <f>(50/4800+150/220+35/300+10/250)*100</f>
        <v>84.89015152</v>
      </c>
      <c r="F3" s="91"/>
      <c r="G3" s="91"/>
      <c r="H3" s="91"/>
      <c r="I3" s="91"/>
      <c r="J3" s="91"/>
      <c r="K3" s="91"/>
      <c r="L3" s="91"/>
      <c r="M3" s="91"/>
      <c r="N3" s="91"/>
      <c r="O3" s="91"/>
      <c r="P3" s="91"/>
      <c r="Q3" s="91"/>
      <c r="R3" s="91"/>
      <c r="S3" s="88"/>
      <c r="T3" s="88"/>
      <c r="U3" s="88"/>
      <c r="V3" s="88"/>
      <c r="W3" s="88"/>
      <c r="X3" s="88"/>
      <c r="Y3" s="88"/>
      <c r="Z3" s="88"/>
    </row>
    <row r="4">
      <c r="A4" s="88"/>
      <c r="B4" s="91" t="s">
        <v>7</v>
      </c>
      <c r="C4" s="91" t="s">
        <v>231</v>
      </c>
      <c r="D4" s="91">
        <v>120.0</v>
      </c>
      <c r="E4" s="91"/>
      <c r="F4" s="91"/>
      <c r="G4" s="91"/>
      <c r="H4" s="91"/>
      <c r="I4" s="91"/>
      <c r="J4" s="91"/>
      <c r="K4" s="91"/>
      <c r="L4" s="91"/>
      <c r="M4" s="91"/>
      <c r="N4" s="91"/>
      <c r="O4" s="91"/>
      <c r="P4" s="91"/>
      <c r="Q4" s="91"/>
      <c r="R4" s="91"/>
      <c r="S4" s="88"/>
      <c r="T4" s="88"/>
      <c r="U4" s="88"/>
      <c r="V4" s="88"/>
      <c r="W4" s="88"/>
      <c r="X4" s="88"/>
      <c r="Y4" s="88"/>
      <c r="Z4" s="88"/>
    </row>
    <row r="5">
      <c r="A5" s="88"/>
      <c r="B5" s="91" t="s">
        <v>14</v>
      </c>
      <c r="C5" s="91" t="s">
        <v>234</v>
      </c>
      <c r="D5" s="91">
        <v>135.0</v>
      </c>
      <c r="E5" s="91">
        <v>120.0</v>
      </c>
      <c r="F5" s="91">
        <v>100.0</v>
      </c>
      <c r="G5" s="91"/>
      <c r="H5" s="91">
        <f t="shared" ref="H5:H6" si="1">140/116*100</f>
        <v>120.6896552</v>
      </c>
      <c r="I5" s="91">
        <v>120.0</v>
      </c>
      <c r="J5" s="91"/>
      <c r="K5" s="91"/>
      <c r="L5" s="91"/>
      <c r="M5" s="91"/>
      <c r="N5" s="91"/>
      <c r="O5" s="91"/>
      <c r="P5" s="91"/>
      <c r="Q5" s="91"/>
      <c r="R5" s="91"/>
      <c r="S5" s="88"/>
      <c r="T5" s="88"/>
      <c r="U5" s="88"/>
      <c r="V5" s="88"/>
      <c r="W5" s="88"/>
      <c r="X5" s="88"/>
      <c r="Y5" s="88"/>
      <c r="Z5" s="88"/>
    </row>
    <row r="6">
      <c r="A6" s="88"/>
      <c r="B6" s="91" t="s">
        <v>15</v>
      </c>
      <c r="C6" s="91" t="s">
        <v>235</v>
      </c>
      <c r="D6" s="91">
        <v>140.0</v>
      </c>
      <c r="E6" s="91">
        <v>160.0</v>
      </c>
      <c r="F6" s="91">
        <f>(90/90)*100</f>
        <v>100</v>
      </c>
      <c r="G6" s="91">
        <f>(60*4)/232*100</f>
        <v>103.4482759</v>
      </c>
      <c r="H6" s="91">
        <f t="shared" si="1"/>
        <v>120.6896552</v>
      </c>
      <c r="I6" s="91"/>
      <c r="J6" s="91"/>
      <c r="K6" s="91"/>
      <c r="L6" s="91"/>
      <c r="M6" s="91"/>
      <c r="N6" s="91"/>
      <c r="O6" s="91"/>
      <c r="P6" s="91"/>
      <c r="Q6" s="91"/>
      <c r="R6" s="91"/>
      <c r="S6" s="88"/>
      <c r="T6" s="88"/>
      <c r="U6" s="88"/>
      <c r="V6" s="88"/>
      <c r="W6" s="88"/>
      <c r="X6" s="88"/>
      <c r="Y6" s="88"/>
      <c r="Z6" s="88"/>
    </row>
    <row r="7">
      <c r="A7" s="88"/>
      <c r="B7" s="91" t="s">
        <v>16</v>
      </c>
      <c r="C7" s="91" t="s">
        <v>237</v>
      </c>
      <c r="D7" s="91">
        <v>160.0</v>
      </c>
      <c r="E7" s="91">
        <v>180.0</v>
      </c>
      <c r="F7" s="91">
        <f>(60*3+40)/144*100</f>
        <v>152.7777778</v>
      </c>
      <c r="G7" s="91">
        <f>60/46*100</f>
        <v>130.4347826</v>
      </c>
      <c r="H7" s="91"/>
      <c r="I7" s="91"/>
      <c r="J7" s="91"/>
      <c r="K7" s="91"/>
      <c r="L7" s="91"/>
      <c r="M7" s="91"/>
      <c r="N7" s="91"/>
      <c r="O7" s="91"/>
      <c r="P7" s="91"/>
      <c r="Q7" s="91"/>
      <c r="R7" s="91"/>
      <c r="S7" s="88"/>
      <c r="T7" s="88"/>
      <c r="U7" s="88"/>
      <c r="V7" s="88"/>
      <c r="W7" s="88"/>
      <c r="X7" s="88"/>
      <c r="Y7" s="88"/>
      <c r="Z7" s="88"/>
    </row>
    <row r="8">
      <c r="A8" s="88"/>
      <c r="B8" s="91" t="s">
        <v>17</v>
      </c>
      <c r="C8" s="91" t="s">
        <v>238</v>
      </c>
      <c r="D8" s="91">
        <v>120.0</v>
      </c>
      <c r="E8" s="91">
        <v>130.0</v>
      </c>
      <c r="F8" s="91">
        <f>120/100*100</f>
        <v>120</v>
      </c>
      <c r="G8" s="91">
        <f>(4.5*60)/206*100</f>
        <v>131.0679612</v>
      </c>
      <c r="H8" s="91"/>
      <c r="I8" s="91"/>
      <c r="J8" s="91"/>
      <c r="K8" s="91"/>
      <c r="L8" s="91"/>
      <c r="M8" s="91"/>
      <c r="N8" s="91"/>
      <c r="O8" s="91"/>
      <c r="P8" s="91"/>
      <c r="Q8" s="91"/>
      <c r="R8" s="91"/>
      <c r="S8" s="88"/>
      <c r="T8" s="88"/>
      <c r="U8" s="88"/>
      <c r="V8" s="88"/>
      <c r="W8" s="88"/>
      <c r="X8" s="88"/>
      <c r="Y8" s="88"/>
      <c r="Z8" s="88"/>
    </row>
    <row r="9">
      <c r="A9" s="88"/>
      <c r="B9" s="91" t="s">
        <v>18</v>
      </c>
      <c r="C9" s="91" t="s">
        <v>240</v>
      </c>
      <c r="D9" s="91">
        <v>170.0</v>
      </c>
      <c r="E9" s="91">
        <v>160.0</v>
      </c>
      <c r="F9" s="91">
        <f>120/64*100</f>
        <v>187.5</v>
      </c>
      <c r="G9" s="91">
        <f>(6*60)/225*100</f>
        <v>160</v>
      </c>
      <c r="H9" s="91"/>
      <c r="I9" s="91"/>
      <c r="J9" s="91"/>
      <c r="K9" s="91"/>
      <c r="L9" s="91"/>
      <c r="M9" s="91"/>
      <c r="N9" s="91"/>
      <c r="O9" s="91"/>
      <c r="P9" s="91"/>
      <c r="Q9" s="91"/>
      <c r="R9" s="91"/>
      <c r="S9" s="88"/>
      <c r="T9" s="88"/>
      <c r="U9" s="88"/>
      <c r="V9" s="88"/>
      <c r="W9" s="88"/>
      <c r="X9" s="88"/>
      <c r="Y9" s="88"/>
      <c r="Z9" s="88"/>
    </row>
    <row r="10">
      <c r="A10" s="88"/>
      <c r="B10" s="91" t="s">
        <v>22</v>
      </c>
      <c r="C10" s="91" t="s">
        <v>245</v>
      </c>
      <c r="D10" s="91">
        <v>120.0</v>
      </c>
      <c r="E10" s="91">
        <f>120/72*100</f>
        <v>166.6666667</v>
      </c>
      <c r="F10" s="91">
        <f>(3*60+45)/195*100</f>
        <v>115.3846154</v>
      </c>
      <c r="G10" s="91">
        <f>170/(65*3)*100</f>
        <v>87.17948718</v>
      </c>
      <c r="H10" s="91">
        <f>145/132*100</f>
        <v>109.8484848</v>
      </c>
      <c r="I10" s="91"/>
      <c r="J10" s="91"/>
      <c r="K10" s="91"/>
      <c r="L10" s="91"/>
      <c r="M10" s="91"/>
      <c r="N10" s="91"/>
      <c r="O10" s="91"/>
      <c r="P10" s="91"/>
      <c r="Q10" s="91"/>
      <c r="R10" s="91"/>
      <c r="S10" s="88"/>
      <c r="T10" s="88"/>
      <c r="U10" s="88"/>
      <c r="V10" s="88"/>
      <c r="W10" s="88"/>
      <c r="X10" s="88"/>
      <c r="Y10" s="88"/>
      <c r="Z10" s="88"/>
    </row>
    <row r="11">
      <c r="A11" s="88"/>
      <c r="B11" s="91" t="s">
        <v>23</v>
      </c>
      <c r="C11" s="91" t="s">
        <v>247</v>
      </c>
      <c r="D11" s="91">
        <f>55/200*100</f>
        <v>27.5</v>
      </c>
      <c r="E11" s="91">
        <f>45/136*100</f>
        <v>33.08823529</v>
      </c>
      <c r="F11" s="91"/>
      <c r="G11" s="91"/>
      <c r="H11" s="91"/>
      <c r="I11" s="91"/>
      <c r="J11" s="91"/>
      <c r="K11" s="91"/>
      <c r="L11" s="91"/>
      <c r="M11" s="91"/>
      <c r="N11" s="91"/>
      <c r="O11" s="91"/>
      <c r="P11" s="91"/>
      <c r="Q11" s="91"/>
      <c r="R11" s="91"/>
      <c r="S11" s="88"/>
      <c r="T11" s="88"/>
      <c r="U11" s="88"/>
      <c r="V11" s="88"/>
      <c r="W11" s="88"/>
      <c r="X11" s="88"/>
      <c r="Y11" s="88"/>
      <c r="Z11" s="88"/>
    </row>
    <row r="12">
      <c r="A12" s="88"/>
      <c r="B12" s="91" t="s">
        <v>71</v>
      </c>
      <c r="C12" s="91" t="s">
        <v>249</v>
      </c>
      <c r="D12" s="91"/>
      <c r="E12" s="91"/>
      <c r="F12" s="91"/>
      <c r="G12" s="91"/>
      <c r="H12" s="91"/>
      <c r="I12" s="91"/>
      <c r="J12" s="91"/>
      <c r="K12" s="91"/>
      <c r="L12" s="91"/>
      <c r="M12" s="91"/>
      <c r="N12" s="91"/>
      <c r="O12" s="91"/>
      <c r="P12" s="91"/>
      <c r="Q12" s="91"/>
      <c r="R12" s="91"/>
      <c r="S12" s="88"/>
      <c r="T12" s="88"/>
      <c r="U12" s="88"/>
      <c r="V12" s="88"/>
      <c r="W12" s="88"/>
      <c r="X12" s="88"/>
      <c r="Y12" s="88"/>
      <c r="Z12" s="88"/>
    </row>
    <row r="13">
      <c r="A13" s="88"/>
      <c r="B13" s="91" t="s">
        <v>24</v>
      </c>
      <c r="C13" s="91" t="s">
        <v>251</v>
      </c>
      <c r="D13" s="91">
        <v>33.33</v>
      </c>
      <c r="E13" s="91">
        <v>24.0</v>
      </c>
      <c r="F13" s="91">
        <f>40/144*100</f>
        <v>27.77777778</v>
      </c>
      <c r="G13" s="91">
        <f>70/180*100</f>
        <v>38.88888889</v>
      </c>
      <c r="H13" s="91">
        <f>150/400*100</f>
        <v>37.5</v>
      </c>
      <c r="I13" s="91"/>
      <c r="J13" s="91"/>
      <c r="K13" s="91"/>
      <c r="L13" s="91"/>
      <c r="M13" s="91"/>
      <c r="N13" s="91"/>
      <c r="O13" s="91"/>
      <c r="P13" s="91"/>
      <c r="Q13" s="91"/>
      <c r="R13" s="91"/>
      <c r="S13" s="88"/>
      <c r="T13" s="88"/>
      <c r="U13" s="88"/>
      <c r="V13" s="88"/>
      <c r="W13" s="88"/>
      <c r="X13" s="88"/>
      <c r="Y13" s="88"/>
      <c r="Z13" s="88"/>
    </row>
    <row r="14">
      <c r="A14" s="88"/>
      <c r="B14" s="91" t="s">
        <v>217</v>
      </c>
      <c r="C14" s="91"/>
      <c r="D14" s="91">
        <f>15/40*100</f>
        <v>37.5</v>
      </c>
      <c r="E14" s="91"/>
      <c r="F14" s="91"/>
      <c r="G14" s="91"/>
      <c r="H14" s="91"/>
      <c r="I14" s="91"/>
      <c r="J14" s="91"/>
      <c r="K14" s="91"/>
      <c r="L14" s="91"/>
      <c r="M14" s="91"/>
      <c r="N14" s="91"/>
      <c r="O14" s="91"/>
      <c r="P14" s="91"/>
      <c r="Q14" s="91"/>
      <c r="R14" s="91"/>
      <c r="S14" s="88"/>
      <c r="T14" s="88"/>
      <c r="U14" s="88"/>
      <c r="V14" s="88"/>
      <c r="W14" s="88"/>
      <c r="X14" s="88"/>
      <c r="Y14" s="88"/>
      <c r="Z14" s="88"/>
    </row>
    <row r="15">
      <c r="A15" s="88"/>
      <c r="B15" s="91" t="s">
        <v>26</v>
      </c>
      <c r="C15" s="91" t="s">
        <v>252</v>
      </c>
      <c r="D15" s="91">
        <v>65.0</v>
      </c>
      <c r="E15" s="91">
        <v>105.0</v>
      </c>
      <c r="F15" s="91">
        <f>(3.25*2+1.5)*60/(116*4+27)*100</f>
        <v>97.75967413</v>
      </c>
      <c r="G15" s="91"/>
      <c r="H15" s="91"/>
      <c r="I15" s="91"/>
      <c r="J15" s="91"/>
      <c r="K15" s="91"/>
      <c r="L15" s="91"/>
      <c r="M15" s="91"/>
      <c r="N15" s="91"/>
      <c r="O15" s="91"/>
      <c r="P15" s="91"/>
      <c r="Q15" s="91"/>
      <c r="R15" s="91"/>
      <c r="S15" s="88"/>
      <c r="T15" s="88"/>
      <c r="U15" s="88"/>
      <c r="V15" s="88"/>
      <c r="W15" s="88"/>
      <c r="X15" s="88"/>
      <c r="Y15" s="88"/>
      <c r="Z15" s="88"/>
    </row>
    <row r="16">
      <c r="A16" s="88"/>
      <c r="B16" s="91" t="s">
        <v>27</v>
      </c>
      <c r="C16" s="91" t="s">
        <v>253</v>
      </c>
      <c r="D16" s="91">
        <v>55.0</v>
      </c>
      <c r="E16" s="91"/>
      <c r="F16" s="91"/>
      <c r="G16" s="91"/>
      <c r="H16" s="91"/>
      <c r="I16" s="91"/>
      <c r="J16" s="91"/>
      <c r="K16" s="91"/>
      <c r="L16" s="91"/>
      <c r="M16" s="91"/>
      <c r="N16" s="91"/>
      <c r="O16" s="91"/>
      <c r="P16" s="91"/>
      <c r="Q16" s="91"/>
      <c r="R16" s="91"/>
      <c r="S16" s="88"/>
      <c r="T16" s="88"/>
      <c r="U16" s="88"/>
      <c r="V16" s="88"/>
      <c r="W16" s="88"/>
      <c r="X16" s="88"/>
      <c r="Y16" s="88"/>
      <c r="Z16" s="88"/>
    </row>
    <row r="17">
      <c r="A17" s="88"/>
      <c r="B17" s="91" t="s">
        <v>32</v>
      </c>
      <c r="C17" s="91" t="s">
        <v>257</v>
      </c>
      <c r="D17" s="91">
        <v>90.0</v>
      </c>
      <c r="E17" s="91">
        <v>40.0</v>
      </c>
      <c r="F17" s="91"/>
      <c r="G17" s="91"/>
      <c r="H17" s="91"/>
      <c r="I17" s="91"/>
      <c r="J17" s="91"/>
      <c r="K17" s="91"/>
      <c r="L17" s="91"/>
      <c r="M17" s="91"/>
      <c r="N17" s="91"/>
      <c r="O17" s="91"/>
      <c r="P17" s="91"/>
      <c r="Q17" s="91"/>
      <c r="R17" s="91"/>
      <c r="S17" s="88"/>
      <c r="T17" s="88"/>
      <c r="U17" s="88"/>
      <c r="V17" s="88"/>
      <c r="W17" s="88"/>
      <c r="X17" s="88"/>
      <c r="Y17" s="88"/>
      <c r="Z17" s="88"/>
    </row>
    <row r="18">
      <c r="A18" s="88"/>
      <c r="B18" s="91" t="s">
        <v>33</v>
      </c>
      <c r="C18" s="91" t="s">
        <v>259</v>
      </c>
      <c r="D18" s="91">
        <f t="shared" ref="D18:D19" si="2">150/500*100</f>
        <v>30</v>
      </c>
      <c r="E18" s="91"/>
      <c r="F18" s="91"/>
      <c r="G18" s="91"/>
      <c r="H18" s="91"/>
      <c r="I18" s="91"/>
      <c r="J18" s="91"/>
      <c r="K18" s="91"/>
      <c r="L18" s="91"/>
      <c r="M18" s="91"/>
      <c r="N18" s="91"/>
      <c r="O18" s="91"/>
      <c r="P18" s="91"/>
      <c r="Q18" s="91"/>
      <c r="R18" s="91"/>
      <c r="S18" s="88"/>
      <c r="T18" s="88"/>
      <c r="U18" s="88"/>
      <c r="V18" s="88"/>
      <c r="W18" s="88"/>
      <c r="X18" s="88"/>
      <c r="Y18" s="88"/>
      <c r="Z18" s="88"/>
    </row>
    <row r="19">
      <c r="A19" s="88"/>
      <c r="B19" s="91" t="s">
        <v>34</v>
      </c>
      <c r="C19" s="91" t="s">
        <v>260</v>
      </c>
      <c r="D19" s="91">
        <f t="shared" si="2"/>
        <v>30</v>
      </c>
      <c r="E19" s="91"/>
      <c r="F19" s="91"/>
      <c r="G19" s="91"/>
      <c r="H19" s="91"/>
      <c r="I19" s="91"/>
      <c r="J19" s="91"/>
      <c r="K19" s="91"/>
      <c r="L19" s="91"/>
      <c r="M19" s="91"/>
      <c r="N19" s="91"/>
      <c r="O19" s="91"/>
      <c r="P19" s="91"/>
      <c r="Q19" s="91"/>
      <c r="R19" s="91"/>
      <c r="S19" s="88"/>
      <c r="T19" s="88"/>
      <c r="U19" s="88"/>
      <c r="V19" s="88"/>
      <c r="W19" s="88"/>
      <c r="X19" s="88"/>
      <c r="Y19" s="88"/>
      <c r="Z19" s="88"/>
    </row>
    <row r="20">
      <c r="A20" s="88"/>
      <c r="B20" s="91" t="s">
        <v>35</v>
      </c>
      <c r="C20" s="91" t="s">
        <v>261</v>
      </c>
      <c r="D20" s="91">
        <v>80.0</v>
      </c>
      <c r="E20" s="91">
        <v>90.0</v>
      </c>
      <c r="F20" s="91">
        <v>150.0</v>
      </c>
      <c r="G20" s="91">
        <v>75.0</v>
      </c>
      <c r="H20" s="91">
        <v>70.0</v>
      </c>
      <c r="I20" s="91">
        <v>80.0</v>
      </c>
      <c r="J20" s="91">
        <v>65.0</v>
      </c>
      <c r="K20" s="91">
        <f>135/209*100</f>
        <v>64.59330144</v>
      </c>
      <c r="L20" s="91">
        <f>(3*60+40)/300*100</f>
        <v>73.33333333</v>
      </c>
      <c r="M20" s="91"/>
      <c r="N20" s="91"/>
      <c r="O20" s="91"/>
      <c r="P20" s="91"/>
      <c r="Q20" s="91"/>
      <c r="R20" s="91"/>
      <c r="S20" s="88"/>
      <c r="T20" s="88"/>
      <c r="U20" s="88"/>
      <c r="V20" s="88"/>
      <c r="W20" s="88"/>
      <c r="X20" s="88"/>
      <c r="Y20" s="88"/>
      <c r="Z20" s="88"/>
    </row>
    <row r="21">
      <c r="A21" s="88"/>
      <c r="B21" s="91" t="s">
        <v>36</v>
      </c>
      <c r="C21" s="91" t="s">
        <v>263</v>
      </c>
      <c r="D21" s="91">
        <v>80.0</v>
      </c>
      <c r="E21" s="91">
        <v>90.0</v>
      </c>
      <c r="F21" s="91"/>
      <c r="G21" s="91"/>
      <c r="H21" s="91"/>
      <c r="I21" s="91"/>
      <c r="J21" s="91"/>
      <c r="K21" s="91"/>
      <c r="L21" s="91"/>
      <c r="M21" s="91"/>
      <c r="N21" s="91"/>
      <c r="O21" s="91"/>
      <c r="P21" s="91"/>
      <c r="Q21" s="91"/>
      <c r="R21" s="91"/>
      <c r="S21" s="88"/>
      <c r="T21" s="88"/>
      <c r="U21" s="88"/>
      <c r="V21" s="88"/>
      <c r="W21" s="88"/>
      <c r="X21" s="88"/>
      <c r="Y21" s="88"/>
      <c r="Z21" s="88"/>
    </row>
    <row r="22">
      <c r="A22" s="88"/>
      <c r="B22" s="91" t="s">
        <v>37</v>
      </c>
      <c r="C22" s="91" t="s">
        <v>264</v>
      </c>
      <c r="D22" s="91">
        <v>80.0</v>
      </c>
      <c r="E22" s="91">
        <v>90.0</v>
      </c>
      <c r="F22" s="91">
        <f>180/290*100</f>
        <v>62.06896552</v>
      </c>
      <c r="G22" s="91">
        <f>(3*60+15)/280*100</f>
        <v>69.64285714</v>
      </c>
      <c r="H22" s="91"/>
      <c r="I22" s="91"/>
      <c r="J22" s="91"/>
      <c r="K22" s="91"/>
      <c r="L22" s="91"/>
      <c r="M22" s="91"/>
      <c r="N22" s="91"/>
      <c r="O22" s="91"/>
      <c r="P22" s="91"/>
      <c r="Q22" s="91"/>
      <c r="R22" s="91"/>
      <c r="S22" s="88"/>
      <c r="T22" s="88"/>
      <c r="U22" s="88"/>
      <c r="V22" s="88"/>
      <c r="W22" s="88"/>
      <c r="X22" s="88"/>
      <c r="Y22" s="88"/>
      <c r="Z22" s="88"/>
    </row>
    <row r="23">
      <c r="A23" s="88"/>
      <c r="B23" s="91" t="s">
        <v>270</v>
      </c>
      <c r="C23" s="91" t="s">
        <v>266</v>
      </c>
      <c r="D23" s="91">
        <v>110.0</v>
      </c>
      <c r="E23" s="91">
        <f>(4*60+30)/340*100</f>
        <v>79.41176471</v>
      </c>
      <c r="F23" s="91">
        <f>(180+165)/(238+257)*100</f>
        <v>69.6969697</v>
      </c>
      <c r="G23" s="91">
        <f>9*60/(102*5+83)*100</f>
        <v>91.0623946</v>
      </c>
      <c r="H23" s="91"/>
      <c r="I23" s="91"/>
      <c r="J23" s="91"/>
      <c r="K23" s="91"/>
      <c r="L23" s="91"/>
      <c r="M23" s="91"/>
      <c r="N23" s="91"/>
      <c r="O23" s="91"/>
      <c r="P23" s="91"/>
      <c r="Q23" s="91"/>
      <c r="R23" s="91"/>
      <c r="S23" s="88"/>
      <c r="T23" s="88"/>
      <c r="U23" s="88"/>
      <c r="V23" s="88"/>
      <c r="W23" s="88"/>
      <c r="X23" s="88"/>
      <c r="Y23" s="88"/>
      <c r="Z23" s="88"/>
    </row>
    <row r="24">
      <c r="A24" s="88"/>
      <c r="B24" s="91" t="s">
        <v>444</v>
      </c>
      <c r="C24" s="91"/>
      <c r="D24" s="91">
        <f>12*60/360*100</f>
        <v>200</v>
      </c>
      <c r="E24" s="91">
        <f>180/132*100</f>
        <v>136.3636364</v>
      </c>
      <c r="F24" s="91">
        <f>(5*60+30)/289*100</f>
        <v>114.1868512</v>
      </c>
      <c r="G24" s="91"/>
      <c r="H24" s="91"/>
      <c r="I24" s="91"/>
      <c r="J24" s="91"/>
      <c r="K24" s="91"/>
      <c r="L24" s="91"/>
      <c r="M24" s="91"/>
      <c r="N24" s="91"/>
      <c r="O24" s="91"/>
      <c r="P24" s="91"/>
      <c r="Q24" s="91"/>
      <c r="R24" s="91"/>
      <c r="S24" s="88"/>
      <c r="T24" s="88"/>
      <c r="U24" s="88"/>
      <c r="V24" s="88"/>
      <c r="W24" s="88"/>
      <c r="X24" s="88"/>
      <c r="Y24" s="88"/>
      <c r="Z24" s="88"/>
    </row>
    <row r="25">
      <c r="A25" s="88"/>
      <c r="B25" s="91" t="s">
        <v>271</v>
      </c>
      <c r="C25" s="91" t="s">
        <v>267</v>
      </c>
      <c r="D25" s="91">
        <v>95.0</v>
      </c>
      <c r="E25" s="91">
        <f>90/105*100</f>
        <v>85.71428571</v>
      </c>
      <c r="F25" s="91">
        <f>(60/111+10/200)*100</f>
        <v>59.05405405</v>
      </c>
      <c r="G25" s="91">
        <f>(4*60)/400*100</f>
        <v>60</v>
      </c>
      <c r="H25" s="91"/>
      <c r="I25" s="91"/>
      <c r="J25" s="91"/>
      <c r="K25" s="91"/>
      <c r="L25" s="91"/>
      <c r="M25" s="91"/>
      <c r="N25" s="91"/>
      <c r="O25" s="91"/>
      <c r="P25" s="91"/>
      <c r="Q25" s="91"/>
      <c r="R25" s="91"/>
      <c r="S25" s="88"/>
      <c r="T25" s="88"/>
      <c r="U25" s="88"/>
      <c r="V25" s="88"/>
      <c r="W25" s="88"/>
      <c r="X25" s="88"/>
      <c r="Y25" s="88"/>
      <c r="Z25" s="88"/>
    </row>
    <row r="26">
      <c r="A26" s="88"/>
      <c r="B26" s="91" t="s">
        <v>445</v>
      </c>
      <c r="C26" s="91" t="s">
        <v>268</v>
      </c>
      <c r="D26" s="91">
        <v>90.0</v>
      </c>
      <c r="E26" s="91">
        <f>160/250*100</f>
        <v>64</v>
      </c>
      <c r="F26" s="91">
        <f>120/135*100</f>
        <v>88.88888889</v>
      </c>
      <c r="G26" s="91">
        <f>(5*60+30)/590*100</f>
        <v>55.93220339</v>
      </c>
      <c r="H26" s="91"/>
      <c r="I26" s="91"/>
      <c r="J26" s="91"/>
      <c r="K26" s="91"/>
      <c r="L26" s="91"/>
      <c r="M26" s="91"/>
      <c r="N26" s="91"/>
      <c r="O26" s="91"/>
      <c r="P26" s="91"/>
      <c r="Q26" s="91"/>
      <c r="R26" s="91"/>
      <c r="S26" s="88"/>
      <c r="T26" s="88"/>
      <c r="U26" s="88"/>
      <c r="V26" s="88"/>
      <c r="W26" s="88"/>
      <c r="X26" s="88"/>
      <c r="Y26" s="88"/>
      <c r="Z26" s="88"/>
    </row>
    <row r="27">
      <c r="A27" s="88"/>
      <c r="B27" s="91" t="s">
        <v>446</v>
      </c>
      <c r="C27" s="91"/>
      <c r="D27" s="91">
        <f>(7*60)/(80*6+20)*100</f>
        <v>84</v>
      </c>
      <c r="E27" s="91"/>
      <c r="F27" s="91"/>
      <c r="G27" s="91"/>
      <c r="H27" s="91"/>
      <c r="I27" s="91"/>
      <c r="J27" s="91"/>
      <c r="K27" s="91"/>
      <c r="L27" s="91"/>
      <c r="M27" s="91"/>
      <c r="N27" s="91"/>
      <c r="O27" s="91"/>
      <c r="P27" s="91"/>
      <c r="Q27" s="91"/>
      <c r="R27" s="91"/>
      <c r="S27" s="88"/>
      <c r="T27" s="88"/>
      <c r="U27" s="88"/>
      <c r="V27" s="88"/>
      <c r="W27" s="88"/>
      <c r="X27" s="88"/>
      <c r="Y27" s="88"/>
      <c r="Z27" s="88"/>
    </row>
    <row r="28">
      <c r="A28" s="88"/>
      <c r="B28" s="91" t="s">
        <v>114</v>
      </c>
      <c r="C28" s="91"/>
      <c r="D28" s="91"/>
      <c r="E28" s="91"/>
      <c r="F28" s="91"/>
      <c r="G28" s="91"/>
      <c r="H28" s="91"/>
      <c r="I28" s="91"/>
      <c r="J28" s="91"/>
      <c r="K28" s="91"/>
      <c r="L28" s="91"/>
      <c r="M28" s="91"/>
      <c r="N28" s="91"/>
      <c r="O28" s="91"/>
      <c r="P28" s="91"/>
      <c r="Q28" s="91"/>
      <c r="R28" s="91"/>
      <c r="S28" s="88"/>
      <c r="T28" s="88"/>
      <c r="U28" s="88"/>
      <c r="V28" s="88"/>
      <c r="W28" s="88"/>
      <c r="X28" s="88"/>
      <c r="Y28" s="88"/>
      <c r="Z28" s="88"/>
    </row>
    <row r="29">
      <c r="A29" s="88"/>
      <c r="B29" s="91" t="s">
        <v>447</v>
      </c>
      <c r="C29" s="91"/>
      <c r="D29" s="91">
        <v>1000.0</v>
      </c>
      <c r="E29" s="91"/>
      <c r="F29" s="91"/>
      <c r="G29" s="91"/>
      <c r="H29" s="91"/>
      <c r="I29" s="91"/>
      <c r="J29" s="91"/>
      <c r="K29" s="91"/>
      <c r="L29" s="91"/>
      <c r="M29" s="91"/>
      <c r="N29" s="91"/>
      <c r="O29" s="91"/>
      <c r="P29" s="91"/>
      <c r="Q29" s="91"/>
      <c r="R29" s="91"/>
      <c r="S29" s="88"/>
      <c r="T29" s="88"/>
      <c r="U29" s="88"/>
      <c r="V29" s="88"/>
      <c r="W29" s="88"/>
      <c r="X29" s="88"/>
      <c r="Y29" s="88"/>
      <c r="Z29" s="88"/>
    </row>
    <row r="30">
      <c r="A30" s="88"/>
      <c r="B30" s="91" t="s">
        <v>448</v>
      </c>
      <c r="C30" s="91"/>
      <c r="D30" s="91">
        <v>10.0</v>
      </c>
      <c r="E30" s="91">
        <f>22/(44*5)*100</f>
        <v>10</v>
      </c>
      <c r="F30" s="91"/>
      <c r="G30" s="91"/>
      <c r="H30" s="91"/>
      <c r="I30" s="91"/>
      <c r="J30" s="91"/>
      <c r="K30" s="91"/>
      <c r="L30" s="91"/>
      <c r="M30" s="91"/>
      <c r="N30" s="91"/>
      <c r="O30" s="91"/>
      <c r="P30" s="91"/>
      <c r="Q30" s="91"/>
      <c r="R30" s="91"/>
      <c r="S30" s="88"/>
      <c r="T30" s="88"/>
      <c r="U30" s="88"/>
      <c r="V30" s="88"/>
      <c r="W30" s="88"/>
      <c r="X30" s="88"/>
      <c r="Y30" s="88"/>
      <c r="Z30" s="88"/>
    </row>
    <row r="31">
      <c r="A31" s="88"/>
      <c r="B31" s="91" t="s">
        <v>118</v>
      </c>
      <c r="C31" s="91"/>
      <c r="D31" s="91">
        <f>60</f>
        <v>60</v>
      </c>
      <c r="E31" s="91">
        <f>120/100*100</f>
        <v>120</v>
      </c>
      <c r="F31" s="91">
        <f>75/80*100</f>
        <v>93.75</v>
      </c>
      <c r="G31" s="91">
        <f>180/178*100</f>
        <v>101.1235955</v>
      </c>
      <c r="H31" s="91"/>
      <c r="I31" s="91"/>
      <c r="J31" s="91"/>
      <c r="K31" s="91"/>
      <c r="L31" s="91"/>
      <c r="M31" s="91"/>
      <c r="N31" s="91"/>
      <c r="O31" s="91"/>
      <c r="P31" s="91"/>
      <c r="Q31" s="91"/>
      <c r="R31" s="91"/>
      <c r="S31" s="88"/>
      <c r="T31" s="88"/>
      <c r="U31" s="88"/>
      <c r="V31" s="88"/>
      <c r="W31" s="88"/>
      <c r="X31" s="88"/>
      <c r="Y31" s="88"/>
      <c r="Z31" s="88"/>
    </row>
    <row r="32">
      <c r="A32" s="88"/>
      <c r="B32" s="91" t="s">
        <v>449</v>
      </c>
      <c r="C32" s="91"/>
      <c r="D32" s="91">
        <f>120/12*100</f>
        <v>1000</v>
      </c>
      <c r="E32" s="91"/>
      <c r="F32" s="91"/>
      <c r="G32" s="91"/>
      <c r="H32" s="91"/>
      <c r="I32" s="91"/>
      <c r="J32" s="91"/>
      <c r="K32" s="91"/>
      <c r="L32" s="91"/>
      <c r="M32" s="91"/>
      <c r="N32" s="91"/>
      <c r="O32" s="91"/>
      <c r="P32" s="91"/>
      <c r="Q32" s="91"/>
      <c r="R32" s="91"/>
      <c r="S32" s="88"/>
      <c r="T32" s="88"/>
      <c r="U32" s="88"/>
      <c r="V32" s="88"/>
      <c r="W32" s="88"/>
      <c r="X32" s="88"/>
      <c r="Y32" s="88"/>
      <c r="Z32" s="88"/>
    </row>
    <row r="33">
      <c r="A33" s="88"/>
      <c r="B33" s="91" t="s">
        <v>120</v>
      </c>
      <c r="C33" s="91"/>
      <c r="D33" s="91">
        <f>20/40*100</f>
        <v>50</v>
      </c>
      <c r="E33" s="91">
        <f>20/40*100</f>
        <v>50</v>
      </c>
      <c r="F33" s="91"/>
      <c r="G33" s="91"/>
      <c r="H33" s="91"/>
      <c r="I33" s="91"/>
      <c r="J33" s="91"/>
      <c r="K33" s="91"/>
      <c r="L33" s="91"/>
      <c r="M33" s="91"/>
      <c r="N33" s="91"/>
      <c r="O33" s="91"/>
      <c r="P33" s="91"/>
      <c r="Q33" s="91"/>
      <c r="R33" s="91"/>
      <c r="S33" s="88"/>
      <c r="T33" s="88"/>
      <c r="U33" s="88"/>
      <c r="V33" s="88"/>
      <c r="W33" s="88"/>
      <c r="X33" s="88"/>
      <c r="Y33" s="88"/>
      <c r="Z33" s="88"/>
    </row>
    <row r="34">
      <c r="A34" s="88"/>
      <c r="B34" s="91" t="s">
        <v>123</v>
      </c>
      <c r="C34" s="91"/>
      <c r="D34" s="91">
        <f>30/(52+28)*100</f>
        <v>37.5</v>
      </c>
      <c r="E34" s="91">
        <f>40/80*100</f>
        <v>50</v>
      </c>
      <c r="F34" s="91"/>
      <c r="G34" s="91"/>
      <c r="H34" s="91"/>
      <c r="I34" s="91"/>
      <c r="J34" s="91"/>
      <c r="K34" s="91"/>
      <c r="L34" s="91"/>
      <c r="M34" s="91"/>
      <c r="N34" s="91"/>
      <c r="O34" s="91"/>
      <c r="P34" s="91"/>
      <c r="Q34" s="91"/>
      <c r="R34" s="91"/>
      <c r="S34" s="88"/>
      <c r="T34" s="88"/>
      <c r="U34" s="88"/>
      <c r="V34" s="88"/>
      <c r="W34" s="88"/>
      <c r="X34" s="88"/>
      <c r="Y34" s="88"/>
      <c r="Z34" s="88"/>
    </row>
    <row r="35">
      <c r="A35" s="88"/>
      <c r="B35" s="91" t="s">
        <v>450</v>
      </c>
      <c r="C35" s="91"/>
      <c r="D35" s="91">
        <f>75/120*100</f>
        <v>62.5</v>
      </c>
      <c r="E35" s="91"/>
      <c r="F35" s="91"/>
      <c r="G35" s="91"/>
      <c r="H35" s="91"/>
      <c r="I35" s="91"/>
      <c r="J35" s="91"/>
      <c r="K35" s="91"/>
      <c r="L35" s="91"/>
      <c r="M35" s="91"/>
      <c r="N35" s="91"/>
      <c r="O35" s="91"/>
      <c r="P35" s="91"/>
      <c r="Q35" s="91"/>
      <c r="R35" s="91"/>
      <c r="S35" s="88"/>
      <c r="T35" s="88"/>
      <c r="U35" s="88"/>
      <c r="V35" s="88"/>
      <c r="W35" s="88"/>
      <c r="X35" s="88"/>
      <c r="Y35" s="88"/>
      <c r="Z35" s="88"/>
    </row>
    <row r="36">
      <c r="A36" s="88"/>
      <c r="B36" s="91" t="s">
        <v>451</v>
      </c>
      <c r="C36" s="91"/>
      <c r="D36" s="91">
        <f>90/63*100</f>
        <v>142.8571429</v>
      </c>
      <c r="E36" s="91"/>
      <c r="F36" s="91"/>
      <c r="G36" s="91"/>
      <c r="H36" s="91"/>
      <c r="I36" s="91"/>
      <c r="J36" s="91"/>
      <c r="K36" s="91"/>
      <c r="L36" s="91"/>
      <c r="M36" s="91"/>
      <c r="N36" s="91"/>
      <c r="O36" s="91"/>
      <c r="P36" s="91"/>
      <c r="Q36" s="91"/>
      <c r="R36" s="91"/>
      <c r="S36" s="88"/>
      <c r="T36" s="88"/>
      <c r="U36" s="88"/>
      <c r="V36" s="88"/>
      <c r="W36" s="88"/>
      <c r="X36" s="88"/>
      <c r="Y36" s="88"/>
      <c r="Z36" s="88"/>
    </row>
    <row r="37">
      <c r="A37" s="88"/>
      <c r="B37" s="91" t="s">
        <v>452</v>
      </c>
      <c r="C37" s="91"/>
      <c r="D37" s="91">
        <f>(4*60)/(48*7)*100</f>
        <v>71.42857143</v>
      </c>
      <c r="E37" s="91"/>
      <c r="F37" s="91"/>
      <c r="G37" s="91"/>
      <c r="H37" s="91"/>
      <c r="I37" s="91"/>
      <c r="J37" s="91"/>
      <c r="K37" s="91"/>
      <c r="L37" s="91"/>
      <c r="M37" s="91"/>
      <c r="N37" s="91"/>
      <c r="O37" s="91"/>
      <c r="P37" s="91"/>
      <c r="Q37" s="91"/>
      <c r="R37" s="91"/>
      <c r="S37" s="88"/>
      <c r="T37" s="88"/>
      <c r="U37" s="88"/>
      <c r="V37" s="88"/>
      <c r="W37" s="88"/>
      <c r="X37" s="88"/>
      <c r="Y37" s="88"/>
      <c r="Z37" s="88"/>
    </row>
    <row r="38">
      <c r="A38" s="88"/>
      <c r="B38" s="91" t="s">
        <v>453</v>
      </c>
      <c r="C38" s="91"/>
      <c r="D38" s="91">
        <f>(3*60+30)/(86*4)*100</f>
        <v>61.04651163</v>
      </c>
      <c r="E38" s="91"/>
      <c r="F38" s="91"/>
      <c r="G38" s="91"/>
      <c r="H38" s="91"/>
      <c r="I38" s="91"/>
      <c r="J38" s="91"/>
      <c r="K38" s="91"/>
      <c r="L38" s="91"/>
      <c r="M38" s="91"/>
      <c r="N38" s="91"/>
      <c r="O38" s="91"/>
      <c r="P38" s="91"/>
      <c r="Q38" s="91"/>
      <c r="R38" s="91"/>
      <c r="S38" s="88"/>
      <c r="T38" s="88"/>
      <c r="U38" s="88"/>
      <c r="V38" s="88"/>
      <c r="W38" s="88"/>
      <c r="X38" s="88"/>
      <c r="Y38" s="88"/>
      <c r="Z38" s="88"/>
    </row>
    <row r="39">
      <c r="A39" s="88"/>
      <c r="B39" s="91" t="s">
        <v>454</v>
      </c>
      <c r="C39" s="91"/>
      <c r="D39" s="91">
        <f>(5*60)/225*100</f>
        <v>133.3333333</v>
      </c>
      <c r="E39" s="91"/>
      <c r="F39" s="91"/>
      <c r="G39" s="91"/>
      <c r="H39" s="91"/>
      <c r="I39" s="91"/>
      <c r="J39" s="91"/>
      <c r="K39" s="91"/>
      <c r="L39" s="91"/>
      <c r="M39" s="91"/>
      <c r="N39" s="91"/>
      <c r="O39" s="91"/>
      <c r="P39" s="91"/>
      <c r="Q39" s="91"/>
      <c r="R39" s="91"/>
      <c r="S39" s="88"/>
      <c r="T39" s="88"/>
      <c r="U39" s="88"/>
      <c r="V39" s="88"/>
      <c r="W39" s="88"/>
      <c r="X39" s="88"/>
      <c r="Y39" s="88"/>
      <c r="Z39" s="88"/>
    </row>
    <row r="40">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row>
    <row r="44">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row>
    <row r="45">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row>
    <row r="46">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row>
    <row r="47">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row>
    <row r="48">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row>
    <row r="49">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row>
    <row r="50">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row>
    <row r="5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row>
    <row r="52">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row>
    <row r="53">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row>
    <row r="55">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row>
    <row r="56">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row>
    <row r="58">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row>
    <row r="59">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row>
    <row r="60">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row>
    <row r="6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row>
    <row r="62">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row>
    <row r="63">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row>
    <row r="64">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row>
    <row r="65">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row>
    <row r="66">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row>
    <row r="67">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row>
    <row r="68">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row>
    <row r="69">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row>
    <row r="70">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row>
    <row r="7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row>
    <row r="72">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row>
    <row r="73">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row>
    <row r="74">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row>
    <row r="75">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row>
    <row r="76">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row>
    <row r="77">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row>
    <row r="78">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row>
    <row r="79">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row>
    <row r="80">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row>
    <row r="8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row>
    <row r="82">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row>
    <row r="83">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row>
    <row r="84">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row>
    <row r="85">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row>
    <row r="86">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row>
    <row r="87">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row>
    <row r="88">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row>
    <row r="89">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row>
    <row r="90">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row>
    <row r="9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row>
    <row r="92">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row>
    <row r="93">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row>
    <row r="94">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row>
    <row r="95">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row>
    <row r="96">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row>
    <row r="97">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row>
    <row r="98">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row>
    <row r="99">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row>
    <row r="100">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row>
    <row r="10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row>
    <row r="102">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row>
    <row r="103">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row>
    <row r="104">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row>
    <row r="105">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row>
    <row r="106">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row>
    <row r="107">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row>
    <row r="108">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row>
    <row r="109">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row>
    <row r="110">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row>
    <row r="11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row>
    <row r="112">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row>
    <row r="113">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row>
    <row r="114">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row>
    <row r="252">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row>
    <row r="253">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row>
    <row r="254">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row>
    <row r="255">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row>
    <row r="256">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row>
    <row r="257">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row>
    <row r="258">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row>
    <row r="259">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row>
    <row r="260">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row>
    <row r="261">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row>
    <row r="262">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row>
    <row r="263">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row>
    <row r="264">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row>
    <row r="265">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row>
    <row r="266">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row>
    <row r="267">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row>
    <row r="268">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row>
    <row r="269">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row>
    <row r="270">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row>
    <row r="271">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row>
    <row r="272">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row>
    <row r="273">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row>
    <row r="274">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row>
    <row r="275">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row>
    <row r="276">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row>
    <row r="277">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row>
    <row r="278">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row>
    <row r="279">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row>
    <row r="280">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row>
    <row r="281">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row>
    <row r="282">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row>
    <row r="283">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row>
    <row r="284">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row>
    <row r="285">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row>
    <row r="286">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row>
    <row r="287">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row>
    <row r="288">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row>
    <row r="289">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row>
    <row r="290">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row>
    <row r="291">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row>
    <row r="292">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row>
    <row r="293">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row>
    <row r="294">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row>
    <row r="295">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row>
    <row r="296">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row>
    <row r="297">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row>
    <row r="298">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row>
    <row r="299">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row>
    <row r="300">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row>
    <row r="301">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row>
    <row r="302">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row>
    <row r="303">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row>
    <row r="304">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row>
    <row r="305">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row>
    <row r="306">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row>
    <row r="307">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row>
    <row r="308">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row>
    <row r="309">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row>
    <row r="310">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row>
    <row r="31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row>
    <row r="312">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row>
    <row r="313">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row>
    <row r="314">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row>
    <row r="315">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row>
    <row r="316">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row>
    <row r="317">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row>
    <row r="318">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row>
    <row r="319">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row>
    <row r="320">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row>
    <row r="32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row>
    <row r="322">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row>
    <row r="323">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row>
    <row r="324">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row>
    <row r="325">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row>
    <row r="326">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row>
    <row r="327">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row>
    <row r="328">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row>
    <row r="329">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row>
    <row r="330">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row>
    <row r="33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row>
    <row r="332">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row>
    <row r="333">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row>
    <row r="334">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row>
    <row r="335">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row>
    <row r="336">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row>
    <row r="337">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row>
    <row r="338">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row>
    <row r="339">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row>
    <row r="340">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row>
    <row r="34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row>
    <row r="342">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row>
    <row r="343">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row>
    <row r="344">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row>
    <row r="345">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row>
    <row r="346">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row>
    <row r="347">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row>
    <row r="348">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row>
    <row r="349">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row>
    <row r="350">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row>
    <row r="35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row>
    <row r="352">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row>
    <row r="353">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row>
    <row r="354">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row>
    <row r="355">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row>
    <row r="356">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row>
    <row r="357">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row>
    <row r="358">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row>
    <row r="359">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row>
    <row r="360">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row>
    <row r="36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row>
    <row r="362">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row>
    <row r="363">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row>
    <row r="364">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row>
    <row r="365">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row>
    <row r="366">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row>
    <row r="367">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row>
    <row r="368">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row>
    <row r="369">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row>
    <row r="370">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row>
    <row r="37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row>
    <row r="372">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row>
    <row r="373">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row>
    <row r="374">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row>
    <row r="375">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row>
    <row r="376">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row>
    <row r="377">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row>
    <row r="378">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row>
    <row r="379">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row>
    <row r="380">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row>
    <row r="38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row>
    <row r="382">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row>
    <row r="383">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row>
    <row r="384">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row>
    <row r="385">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row>
    <row r="386">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row>
    <row r="387">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row>
    <row r="388">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row>
    <row r="389">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row>
    <row r="390">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row>
    <row r="39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row>
    <row r="392">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row>
    <row r="393">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row>
    <row r="394">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row>
    <row r="395">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row>
    <row r="396">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row>
    <row r="397">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row>
    <row r="398">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row>
    <row r="399">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row>
    <row r="400">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row>
    <row r="40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row>
    <row r="402">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row>
    <row r="403">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row>
    <row r="404">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row>
    <row r="405">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row>
    <row r="406">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row>
    <row r="407">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row>
    <row r="408">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row>
    <row r="409">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row>
    <row r="410">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row>
    <row r="41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row>
    <row r="412">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row>
    <row r="413">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row>
    <row r="414">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row>
    <row r="415">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row>
    <row r="416">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row>
    <row r="417">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row>
    <row r="418">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row>
    <row r="419">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row>
    <row r="420">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row>
    <row r="42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row>
    <row r="422">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row>
    <row r="423">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row>
    <row r="424">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row>
    <row r="425">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row>
    <row r="426">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row>
    <row r="427">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row>
    <row r="428">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row>
    <row r="429">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row>
    <row r="430">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row>
    <row r="43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row>
    <row r="432">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row>
    <row r="433">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row>
    <row r="434">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row>
    <row r="435">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row>
    <row r="436">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row>
    <row r="437">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row>
    <row r="438">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row>
    <row r="439">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row>
    <row r="440">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row>
    <row r="44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row>
    <row r="442">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row>
    <row r="443">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row>
    <row r="444">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row>
    <row r="445">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row>
    <row r="446">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row>
    <row r="447">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row>
    <row r="448">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row>
    <row r="449">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row>
    <row r="450">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row>
    <row r="45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row>
    <row r="452">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row>
    <row r="453">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row>
    <row r="454">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row>
    <row r="455">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row>
    <row r="456">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row>
    <row r="457">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row>
    <row r="458">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row>
    <row r="459">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row>
    <row r="460">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row>
    <row r="46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row>
    <row r="462">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row>
    <row r="463">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row>
    <row r="464">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row>
    <row r="465">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row>
    <row r="466">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row>
    <row r="467">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row>
    <row r="468">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row>
    <row r="469">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row>
    <row r="470">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row>
    <row r="47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row>
    <row r="472">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row>
    <row r="473">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row>
    <row r="474">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row>
    <row r="475">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row>
    <row r="476">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row>
    <row r="477">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row>
    <row r="478">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row>
    <row r="479">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row>
    <row r="480">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row>
    <row r="48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row>
    <row r="482">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row>
    <row r="483">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row>
    <row r="484">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row>
    <row r="485">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row>
    <row r="486">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row>
    <row r="487">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row>
    <row r="488">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row>
    <row r="489">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row>
    <row r="490">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row>
    <row r="49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row>
    <row r="492">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row>
    <row r="493">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row>
    <row r="494">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row>
    <row r="495">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row>
    <row r="496">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row>
    <row r="497">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row>
    <row r="498">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row>
    <row r="499">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row>
    <row r="500">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row>
    <row r="50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row>
    <row r="502">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row>
    <row r="503">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row>
    <row r="504">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row>
    <row r="505">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row>
    <row r="506">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row>
    <row r="507">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row>
    <row r="508">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row>
    <row r="509">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row>
    <row r="510">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row>
    <row r="51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row>
    <row r="512">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row>
    <row r="513">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row>
    <row r="514">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row>
    <row r="515">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row>
    <row r="516">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row>
    <row r="517">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row>
    <row r="518">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row>
    <row r="519">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row>
    <row r="520">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row>
    <row r="52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row>
    <row r="522">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row>
    <row r="523">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row>
    <row r="524">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row>
    <row r="525">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row>
    <row r="526">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row>
    <row r="527">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row>
    <row r="528">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row>
    <row r="529">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row>
    <row r="530">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row>
    <row r="53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row>
    <row r="532">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row>
    <row r="533">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row>
    <row r="534">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row>
    <row r="535">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row>
    <row r="536">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row>
    <row r="537">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row>
    <row r="538">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row>
    <row r="539">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row>
    <row r="540">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row>
    <row r="54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row>
    <row r="542">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row>
    <row r="543">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row>
    <row r="544">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row>
    <row r="545">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row>
    <row r="546">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row>
    <row r="547">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row>
    <row r="548">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row>
    <row r="549">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row>
    <row r="550">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row>
    <row r="55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row>
    <row r="552">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row>
    <row r="553">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row>
    <row r="554">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row>
    <row r="555">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row>
    <row r="556">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row>
    <row r="557">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row>
    <row r="558">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row>
    <row r="559">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row>
    <row r="560">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row>
    <row r="56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row>
    <row r="562">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row>
    <row r="563">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row>
    <row r="564">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row>
    <row r="565">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row>
    <row r="566">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row>
    <row r="567">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row>
    <row r="568">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row>
    <row r="569">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row>
    <row r="570">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row>
    <row r="57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row>
    <row r="572">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row>
    <row r="573">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row>
    <row r="574">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row>
    <row r="575">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row>
    <row r="576">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row>
    <row r="577">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row>
    <row r="578">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row>
    <row r="579">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row>
    <row r="580">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row>
    <row r="58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row>
    <row r="582">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row>
    <row r="583">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row>
    <row r="584">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row>
    <row r="585">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row>
    <row r="586">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row>
    <row r="587">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row>
    <row r="588">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row>
    <row r="589">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row>
    <row r="590">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row>
    <row r="59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row>
    <row r="592">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row>
    <row r="593">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row>
    <row r="594">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row>
    <row r="595">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row>
    <row r="596">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row>
    <row r="597">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row>
    <row r="598">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row>
    <row r="599">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row>
    <row r="600">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row>
    <row r="60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row>
    <row r="602">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row>
    <row r="603">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row>
    <row r="604">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row>
    <row r="605">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row>
    <row r="606">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row>
    <row r="607">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row>
    <row r="608">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row>
    <row r="609">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row>
    <row r="610">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row>
    <row r="61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row>
    <row r="612">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row>
    <row r="613">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row>
    <row r="614">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row>
    <row r="615">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row>
    <row r="616">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row>
    <row r="617">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row>
    <row r="618">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row>
    <row r="619">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row>
    <row r="620">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row>
    <row r="62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row>
    <row r="622">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row>
    <row r="623">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row>
    <row r="624">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row>
    <row r="625">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row>
    <row r="626">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row>
    <row r="627">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row>
    <row r="628">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row>
    <row r="629">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row>
    <row r="630">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row>
    <row r="63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row>
    <row r="632">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row>
    <row r="633">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row>
    <row r="634">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row>
    <row r="635">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row>
    <row r="636">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row>
    <row r="637">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row>
    <row r="638">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row>
    <row r="639">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row>
    <row r="640">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row>
    <row r="64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row>
    <row r="642">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row>
    <row r="643">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row>
    <row r="644">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row>
    <row r="645">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row>
    <row r="646">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row>
    <row r="647">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row>
    <row r="648">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row>
    <row r="649">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row>
    <row r="650">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row>
    <row r="65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row>
    <row r="652">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row>
    <row r="653">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row>
    <row r="654">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row>
    <row r="655">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row>
    <row r="656">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row>
    <row r="657">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row>
    <row r="658">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row>
    <row r="659">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row>
    <row r="660">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row>
    <row r="66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row>
    <row r="662">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row>
    <row r="663">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row>
    <row r="664">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row>
    <row r="665">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row>
    <row r="666">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row>
    <row r="667">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row>
    <row r="668">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row>
    <row r="669">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row>
    <row r="670">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row>
    <row r="67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row>
    <row r="672">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row>
    <row r="673">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row>
    <row r="674">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row>
    <row r="675">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row>
    <row r="676">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row>
    <row r="677">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row>
    <row r="678">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row>
    <row r="679">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row>
    <row r="680">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row>
    <row r="68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row>
    <row r="682">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row>
    <row r="683">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row>
    <row r="684">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row>
    <row r="685">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row>
    <row r="686">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row>
    <row r="687">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row>
    <row r="688">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row>
    <row r="689">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row>
    <row r="690">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row>
    <row r="69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row>
    <row r="692">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row>
    <row r="693">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row>
    <row r="694">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row>
    <row r="695">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row>
    <row r="696">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row>
    <row r="697">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row>
    <row r="698">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row>
    <row r="699">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row>
    <row r="700">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row>
    <row r="70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row>
    <row r="702">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row>
    <row r="703">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row>
    <row r="704">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row>
    <row r="705">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row>
    <row r="706">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row>
    <row r="707">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row>
    <row r="708">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row>
    <row r="709">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row>
    <row r="710">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row>
    <row r="71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row>
    <row r="712">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row>
    <row r="713">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row>
    <row r="714">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row>
    <row r="715">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row>
    <row r="716">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row>
    <row r="717">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row>
    <row r="718">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row>
    <row r="719">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row>
    <row r="720">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row>
    <row r="72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row>
    <row r="722">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row>
    <row r="723">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row>
    <row r="724">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row>
    <row r="725">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row>
    <row r="726">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row>
    <row r="727">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row>
    <row r="728">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row>
    <row r="729">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row>
    <row r="730">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row>
    <row r="73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row>
    <row r="732">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row>
    <row r="733">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row>
    <row r="734">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row>
    <row r="735">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row>
    <row r="736">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row>
    <row r="737">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row>
    <row r="738">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row>
    <row r="739">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row>
    <row r="740">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row>
    <row r="74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row>
    <row r="742">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row>
    <row r="743">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row>
    <row r="744">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row>
    <row r="745">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row>
    <row r="746">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row>
    <row r="747">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row>
    <row r="748">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row>
    <row r="749">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row>
    <row r="750">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row>
    <row r="75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row>
    <row r="752">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row>
    <row r="753">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row>
    <row r="754">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row>
    <row r="755">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row>
    <row r="756">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row>
    <row r="757">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row>
    <row r="758">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row>
    <row r="759">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row>
    <row r="760">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row>
    <row r="76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row>
    <row r="762">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row>
    <row r="763">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row>
    <row r="764">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row>
    <row r="765">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row>
    <row r="766">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row>
    <row r="767">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row>
    <row r="768">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row>
    <row r="769">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row>
    <row r="770">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row>
    <row r="77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row>
    <row r="772">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row>
    <row r="773">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row>
    <row r="774">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row>
    <row r="775">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row>
    <row r="776">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row>
    <row r="777">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row>
    <row r="778">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row>
    <row r="779">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row>
    <row r="780">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row>
    <row r="78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row>
    <row r="782">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row>
    <row r="783">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row>
    <row r="784">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row>
    <row r="785">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row>
    <row r="786">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row>
    <row r="787">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row>
    <row r="788">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row>
    <row r="789">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row>
    <row r="790">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row>
    <row r="79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row>
    <row r="792">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row>
    <row r="793">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row>
    <row r="794">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row>
    <row r="795">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row>
    <row r="796">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row>
    <row r="797">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row>
    <row r="798">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row>
    <row r="799">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row>
    <row r="800">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row>
    <row r="80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row>
    <row r="802">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row>
    <row r="803">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row>
    <row r="804">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row>
    <row r="805">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row>
    <row r="806">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row>
    <row r="807">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row>
    <row r="808">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row>
    <row r="809">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row>
    <row r="810">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row>
    <row r="81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row>
    <row r="812">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row>
    <row r="813">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row>
    <row r="814">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row>
    <row r="815">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row>
    <row r="816">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row>
    <row r="817">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row>
    <row r="818">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row>
    <row r="819">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row>
    <row r="820">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row>
    <row r="82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row>
    <row r="822">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row>
    <row r="823">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row>
    <row r="824">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row>
    <row r="825">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row>
    <row r="826">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row>
    <row r="827">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row>
    <row r="828">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row>
    <row r="829">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row>
    <row r="830">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row>
    <row r="83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row>
    <row r="832">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row>
    <row r="833">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row>
    <row r="834">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row>
    <row r="835">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row>
    <row r="836">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row>
    <row r="837">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row>
    <row r="838">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row>
    <row r="839">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row>
    <row r="840">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row>
    <row r="84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row>
    <row r="842">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row>
    <row r="843">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row>
    <row r="844">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row>
    <row r="845">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row>
    <row r="846">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row>
    <row r="847">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row>
    <row r="848">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row>
    <row r="849">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row>
    <row r="850">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row>
    <row r="85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row>
    <row r="852">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row>
    <row r="853">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row>
    <row r="854">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row>
    <row r="855">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row>
    <row r="856">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row>
    <row r="857">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row>
    <row r="858">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row>
    <row r="859">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row>
    <row r="860">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row>
    <row r="86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row>
    <row r="862">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row>
    <row r="863">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row>
    <row r="864">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row>
    <row r="865">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row>
    <row r="866">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row>
    <row r="867">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row>
    <row r="868">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row>
    <row r="869">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row>
    <row r="870">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row>
    <row r="87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row>
    <row r="872">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row>
    <row r="873">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row>
    <row r="874">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row>
    <row r="875">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row>
    <row r="876">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row>
    <row r="877">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row>
    <row r="878">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row>
    <row r="879">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row>
    <row r="880">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row>
    <row r="88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row>
    <row r="882">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row>
    <row r="883">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row>
    <row r="884">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row>
    <row r="885">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row>
    <row r="886">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row>
    <row r="887">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row>
    <row r="888">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row>
    <row r="889">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row>
    <row r="890">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row>
    <row r="89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row>
    <row r="892">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row>
    <row r="893">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row>
    <row r="894">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row>
    <row r="895">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row>
    <row r="896">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row>
    <row r="897">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row>
    <row r="898">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row>
    <row r="899">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row>
    <row r="900">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row>
    <row r="90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row>
    <row r="902">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row>
    <row r="903">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row>
    <row r="904">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row>
    <row r="905">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row>
    <row r="906">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row>
    <row r="907">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row>
    <row r="908">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row>
    <row r="909">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row>
    <row r="910">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row>
    <row r="91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row>
    <row r="912">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row>
    <row r="913">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row>
    <row r="914">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row>
    <row r="915">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row>
    <row r="916">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row>
    <row r="917">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row>
    <row r="918">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row>
    <row r="919">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row>
    <row r="920">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row>
    <row r="92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row>
    <row r="922">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row>
    <row r="923">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row>
    <row r="924">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row>
    <row r="925">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row>
    <row r="926">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row>
    <row r="927">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row>
    <row r="928">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row>
    <row r="929">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row>
    <row r="930">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row>
    <row r="93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row>
    <row r="932">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row>
    <row r="933">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row>
    <row r="934">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row>
    <row r="935">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row>
    <row r="936">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row>
    <row r="937">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row>
    <row r="938">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row>
    <row r="939">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row>
    <row r="940">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row>
    <row r="94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row>
    <row r="942">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row>
    <row r="943">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row>
    <row r="944">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row>
    <row r="945">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row>
    <row r="946">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row>
    <row r="947">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row>
    <row r="948">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row>
    <row r="949">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row>
    <row r="950">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row>
    <row r="95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row>
    <row r="952">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row>
    <row r="953">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row>
    <row r="954">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row>
    <row r="955">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row>
    <row r="956">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row>
    <row r="957">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row>
    <row r="958">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row>
    <row r="959">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row>
    <row r="960">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row>
    <row r="96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row>
    <row r="962">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row>
    <row r="963">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row>
    <row r="964">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row>
    <row r="965">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row>
    <row r="966">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row>
    <row r="967">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row>
    <row r="968">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row>
    <row r="969">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row>
    <row r="970">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row>
    <row r="97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row>
    <row r="972">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row>
    <row r="973">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row>
    <row r="974">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row>
    <row r="975">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row>
    <row r="976">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row>
    <row r="977">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row>
    <row r="978">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row>
    <row r="979">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row>
    <row r="980">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row>
    <row r="98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row>
    <row r="982">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row>
    <row r="983">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row>
    <row r="984">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row>
    <row r="985">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row>
    <row r="986">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row>
    <row r="987">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row>
    <row r="988">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row>
    <row r="989">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row>
    <row r="990">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row>
    <row r="99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row>
    <row r="992">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row>
    <row r="993">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row>
    <row r="994">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row>
    <row r="995">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row>
    <row r="996">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row>
    <row r="997">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row>
    <row r="998">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row>
    <row r="999">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row>
    <row r="1000">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row>
    <row r="1001">
      <c r="A1001" s="88"/>
      <c r="B1001" s="88"/>
      <c r="C1001" s="88"/>
      <c r="D1001" s="88"/>
      <c r="E1001" s="88"/>
      <c r="F1001" s="88"/>
      <c r="G1001" s="88"/>
      <c r="H1001" s="88"/>
      <c r="I1001" s="88"/>
      <c r="J1001" s="88"/>
      <c r="K1001" s="88"/>
      <c r="L1001" s="88"/>
      <c r="M1001" s="88"/>
      <c r="N1001" s="88"/>
      <c r="O1001" s="88"/>
      <c r="P1001" s="88"/>
      <c r="Q1001" s="88"/>
      <c r="R1001" s="88"/>
      <c r="S1001" s="88"/>
      <c r="T1001" s="88"/>
      <c r="U1001" s="88"/>
      <c r="V1001" s="88"/>
      <c r="W1001" s="88"/>
      <c r="X1001" s="88"/>
      <c r="Y1001" s="88"/>
      <c r="Z1001" s="88"/>
    </row>
    <row r="1002">
      <c r="A1002" s="88"/>
      <c r="B1002" s="88"/>
      <c r="C1002" s="88"/>
      <c r="D1002" s="88"/>
      <c r="E1002" s="88"/>
      <c r="F1002" s="88"/>
      <c r="G1002" s="88"/>
      <c r="H1002" s="88"/>
      <c r="I1002" s="88"/>
      <c r="J1002" s="88"/>
      <c r="K1002" s="88"/>
      <c r="L1002" s="88"/>
      <c r="M1002" s="88"/>
      <c r="N1002" s="88"/>
      <c r="O1002" s="88"/>
      <c r="P1002" s="88"/>
      <c r="Q1002" s="88"/>
      <c r="R1002" s="88"/>
      <c r="S1002" s="88"/>
      <c r="T1002" s="88"/>
      <c r="U1002" s="88"/>
      <c r="V1002" s="88"/>
      <c r="W1002" s="88"/>
      <c r="X1002" s="88"/>
      <c r="Y1002" s="88"/>
      <c r="Z1002" s="88"/>
    </row>
    <row r="1003">
      <c r="A1003" s="88"/>
      <c r="B1003" s="88"/>
      <c r="C1003" s="88"/>
      <c r="D1003" s="88"/>
      <c r="E1003" s="88"/>
      <c r="F1003" s="88"/>
      <c r="G1003" s="88"/>
      <c r="H1003" s="88"/>
      <c r="I1003" s="88"/>
      <c r="J1003" s="88"/>
      <c r="K1003" s="88"/>
      <c r="L1003" s="88"/>
      <c r="M1003" s="88"/>
      <c r="N1003" s="88"/>
      <c r="O1003" s="88"/>
      <c r="P1003" s="88"/>
      <c r="Q1003" s="88"/>
      <c r="R1003" s="88"/>
      <c r="S1003" s="88"/>
      <c r="T1003" s="88"/>
      <c r="U1003" s="88"/>
      <c r="V1003" s="88"/>
      <c r="W1003" s="88"/>
      <c r="X1003" s="88"/>
      <c r="Y1003" s="88"/>
      <c r="Z1003" s="88"/>
    </row>
  </sheetData>
  <autoFilter ref="$F$41"/>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25"/>
    <col customWidth="1" min="4" max="8" width="17.88"/>
  </cols>
  <sheetData>
    <row r="1">
      <c r="A1" s="88"/>
      <c r="B1" s="90" t="s">
        <v>442</v>
      </c>
      <c r="C1" s="90" t="s">
        <v>214</v>
      </c>
      <c r="D1" s="90" t="s">
        <v>443</v>
      </c>
      <c r="E1" s="90" t="s">
        <v>443</v>
      </c>
      <c r="F1" s="90" t="s">
        <v>443</v>
      </c>
      <c r="G1" s="90" t="s">
        <v>443</v>
      </c>
      <c r="H1" s="90" t="s">
        <v>443</v>
      </c>
      <c r="I1" s="90" t="s">
        <v>443</v>
      </c>
      <c r="J1" s="90" t="s">
        <v>443</v>
      </c>
      <c r="K1" s="90" t="s">
        <v>443</v>
      </c>
      <c r="L1" s="90" t="s">
        <v>443</v>
      </c>
      <c r="M1" s="90" t="s">
        <v>443</v>
      </c>
      <c r="N1" s="90" t="s">
        <v>443</v>
      </c>
      <c r="O1" s="90" t="s">
        <v>443</v>
      </c>
      <c r="P1" s="90" t="s">
        <v>443</v>
      </c>
      <c r="Q1" s="90" t="s">
        <v>443</v>
      </c>
      <c r="R1" s="90" t="s">
        <v>443</v>
      </c>
      <c r="S1" s="88"/>
      <c r="T1" s="88"/>
      <c r="U1" s="88"/>
      <c r="V1" s="88"/>
      <c r="W1" s="88"/>
      <c r="X1" s="88"/>
      <c r="Y1" s="88"/>
      <c r="Z1" s="88"/>
    </row>
    <row r="2">
      <c r="A2" s="88"/>
      <c r="B2" s="90" t="s">
        <v>5</v>
      </c>
      <c r="C2" s="90" t="s">
        <v>225</v>
      </c>
      <c r="D2" s="91">
        <f>(50/4800+155/250+40/250+10/400)*100</f>
        <v>81.54166667</v>
      </c>
      <c r="E2" s="91"/>
      <c r="F2" s="91"/>
      <c r="G2" s="91"/>
      <c r="H2" s="91"/>
      <c r="I2" s="88"/>
      <c r="J2" s="88"/>
      <c r="K2" s="88"/>
      <c r="L2" s="88"/>
      <c r="M2" s="88"/>
      <c r="N2" s="88"/>
      <c r="O2" s="88"/>
      <c r="P2" s="88"/>
    </row>
    <row r="3">
      <c r="A3" s="88"/>
      <c r="B3" s="91" t="s">
        <v>6</v>
      </c>
      <c r="C3" s="91" t="s">
        <v>228</v>
      </c>
      <c r="D3" s="91">
        <f>(50/4800+60/80+35/300+10/250)*100</f>
        <v>91.70833333</v>
      </c>
      <c r="E3" s="91"/>
      <c r="F3" s="91"/>
      <c r="G3" s="91"/>
      <c r="H3" s="91"/>
      <c r="I3" s="88"/>
      <c r="J3" s="88"/>
      <c r="K3" s="88"/>
      <c r="L3" s="88"/>
      <c r="M3" s="88"/>
      <c r="N3" s="88"/>
      <c r="O3" s="88"/>
      <c r="P3" s="88"/>
    </row>
    <row r="4">
      <c r="A4" s="88"/>
      <c r="B4" s="91" t="s">
        <v>7</v>
      </c>
      <c r="C4" s="91" t="s">
        <v>231</v>
      </c>
      <c r="D4" s="91"/>
      <c r="E4" s="91"/>
      <c r="F4" s="91"/>
      <c r="G4" s="91"/>
      <c r="H4" s="91"/>
      <c r="I4" s="88"/>
      <c r="J4" s="88"/>
      <c r="K4" s="88"/>
      <c r="L4" s="88"/>
      <c r="M4" s="88"/>
      <c r="N4" s="88"/>
      <c r="O4" s="88"/>
      <c r="P4" s="88"/>
    </row>
    <row r="5">
      <c r="A5" s="88"/>
      <c r="B5" s="91" t="s">
        <v>14</v>
      </c>
      <c r="C5" s="91" t="s">
        <v>234</v>
      </c>
      <c r="D5" s="91">
        <f>220/200*100</f>
        <v>110</v>
      </c>
      <c r="E5" s="91">
        <f>(3*60+25)/242*100</f>
        <v>84.7107438</v>
      </c>
      <c r="F5" s="91"/>
      <c r="G5" s="91"/>
      <c r="H5" s="91"/>
      <c r="I5" s="88"/>
      <c r="J5" s="88"/>
      <c r="K5" s="88"/>
      <c r="L5" s="88"/>
      <c r="M5" s="88"/>
      <c r="N5" s="88"/>
      <c r="O5" s="88"/>
      <c r="P5" s="88"/>
    </row>
    <row r="6">
      <c r="A6" s="88"/>
      <c r="B6" s="91" t="s">
        <v>15</v>
      </c>
      <c r="C6" s="91" t="s">
        <v>235</v>
      </c>
      <c r="D6" s="91">
        <f>210/(96*2)*100</f>
        <v>109.375</v>
      </c>
      <c r="E6" s="91">
        <f>(5.5*60/288+10/128)*100</f>
        <v>122.3958333</v>
      </c>
      <c r="F6" s="91"/>
      <c r="G6" s="91"/>
      <c r="H6" s="91"/>
      <c r="I6" s="88"/>
      <c r="J6" s="88"/>
      <c r="K6" s="88"/>
      <c r="L6" s="88"/>
      <c r="M6" s="88"/>
      <c r="N6" s="88"/>
      <c r="O6" s="88"/>
      <c r="P6" s="88"/>
    </row>
    <row r="7">
      <c r="A7" s="88"/>
      <c r="B7" s="91" t="s">
        <v>16</v>
      </c>
      <c r="C7" s="91" t="s">
        <v>237</v>
      </c>
      <c r="D7" s="91">
        <f>165/116*100</f>
        <v>142.2413793</v>
      </c>
      <c r="E7" s="91"/>
      <c r="F7" s="91"/>
      <c r="G7" s="91"/>
      <c r="H7" s="91"/>
      <c r="I7" s="88"/>
      <c r="J7" s="88"/>
      <c r="K7" s="88"/>
      <c r="L7" s="88"/>
      <c r="M7" s="88"/>
      <c r="N7" s="88"/>
      <c r="O7" s="88"/>
      <c r="P7" s="88"/>
    </row>
    <row r="8">
      <c r="A8" s="88"/>
      <c r="B8" s="91" t="s">
        <v>17</v>
      </c>
      <c r="C8" s="91" t="s">
        <v>238</v>
      </c>
      <c r="D8" s="91">
        <f>160/144*100</f>
        <v>111.1111111</v>
      </c>
      <c r="E8" s="91"/>
      <c r="F8" s="91"/>
      <c r="G8" s="91"/>
      <c r="H8" s="91"/>
      <c r="I8" s="88"/>
      <c r="J8" s="88"/>
      <c r="K8" s="88"/>
      <c r="L8" s="88"/>
      <c r="M8" s="88"/>
      <c r="N8" s="88"/>
      <c r="O8" s="88"/>
      <c r="P8" s="88"/>
    </row>
    <row r="9">
      <c r="A9" s="88"/>
      <c r="B9" s="91" t="s">
        <v>18</v>
      </c>
      <c r="C9" s="91" t="s">
        <v>240</v>
      </c>
      <c r="D9" s="91">
        <f>210/(74*2)*100</f>
        <v>141.8918919</v>
      </c>
      <c r="E9" s="91"/>
      <c r="F9" s="91"/>
      <c r="G9" s="91"/>
      <c r="H9" s="91"/>
      <c r="I9" s="88"/>
      <c r="J9" s="88"/>
      <c r="K9" s="88"/>
      <c r="L9" s="88"/>
      <c r="M9" s="88"/>
      <c r="N9" s="88"/>
      <c r="O9" s="88"/>
      <c r="P9" s="88"/>
    </row>
    <row r="10">
      <c r="A10" s="88"/>
      <c r="B10" s="91" t="s">
        <v>22</v>
      </c>
      <c r="C10" s="91" t="s">
        <v>245</v>
      </c>
      <c r="D10" s="91"/>
      <c r="E10" s="91"/>
      <c r="F10" s="91"/>
      <c r="G10" s="91"/>
      <c r="H10" s="91"/>
      <c r="I10" s="88"/>
      <c r="J10" s="88"/>
      <c r="K10" s="88"/>
      <c r="L10" s="88"/>
      <c r="M10" s="88"/>
      <c r="N10" s="88"/>
      <c r="O10" s="88"/>
      <c r="P10" s="88"/>
    </row>
    <row r="11">
      <c r="A11" s="88"/>
      <c r="B11" s="91" t="s">
        <v>23</v>
      </c>
      <c r="C11" s="91" t="s">
        <v>247</v>
      </c>
      <c r="D11" s="91">
        <f>60/(48*3)*100</f>
        <v>41.66666667</v>
      </c>
      <c r="E11" s="91"/>
      <c r="F11" s="91"/>
      <c r="G11" s="91"/>
      <c r="H11" s="91"/>
      <c r="I11" s="88"/>
      <c r="J11" s="88"/>
      <c r="K11" s="88"/>
      <c r="L11" s="88"/>
      <c r="M11" s="88"/>
      <c r="N11" s="88"/>
      <c r="O11" s="88"/>
      <c r="P11" s="88"/>
    </row>
    <row r="12">
      <c r="A12" s="88"/>
      <c r="B12" s="91" t="s">
        <v>71</v>
      </c>
      <c r="C12" s="91" t="s">
        <v>249</v>
      </c>
      <c r="D12" s="91"/>
      <c r="E12" s="91"/>
      <c r="F12" s="91"/>
      <c r="G12" s="91"/>
      <c r="H12" s="91"/>
      <c r="I12" s="88"/>
      <c r="J12" s="88"/>
      <c r="K12" s="88"/>
      <c r="L12" s="88"/>
      <c r="M12" s="88"/>
      <c r="N12" s="88"/>
      <c r="O12" s="88"/>
      <c r="P12" s="88"/>
    </row>
    <row r="13">
      <c r="A13" s="88"/>
      <c r="B13" s="91" t="s">
        <v>24</v>
      </c>
      <c r="C13" s="91" t="s">
        <v>251</v>
      </c>
      <c r="D13" s="91"/>
      <c r="E13" s="91"/>
      <c r="F13" s="91"/>
      <c r="G13" s="91"/>
      <c r="H13" s="91"/>
      <c r="I13" s="88"/>
      <c r="J13" s="88"/>
      <c r="K13" s="88"/>
      <c r="L13" s="88"/>
      <c r="M13" s="88"/>
      <c r="N13" s="88"/>
      <c r="O13" s="88"/>
      <c r="P13" s="88"/>
    </row>
    <row r="14">
      <c r="A14" s="88"/>
      <c r="B14" s="91" t="s">
        <v>217</v>
      </c>
      <c r="C14" s="91"/>
      <c r="D14" s="91"/>
      <c r="E14" s="91"/>
      <c r="F14" s="91"/>
      <c r="G14" s="91"/>
      <c r="H14" s="91"/>
      <c r="I14" s="88"/>
      <c r="J14" s="88"/>
      <c r="K14" s="88"/>
      <c r="L14" s="88"/>
      <c r="M14" s="88"/>
      <c r="N14" s="88"/>
      <c r="O14" s="88"/>
      <c r="P14" s="88"/>
    </row>
    <row r="15">
      <c r="A15" s="88"/>
      <c r="B15" s="91" t="s">
        <v>26</v>
      </c>
      <c r="C15" s="91" t="s">
        <v>252</v>
      </c>
      <c r="D15" s="91">
        <f>245/240*100</f>
        <v>102.0833333</v>
      </c>
      <c r="E15" s="91"/>
      <c r="F15" s="91"/>
      <c r="G15" s="91"/>
      <c r="H15" s="91"/>
      <c r="I15" s="88"/>
      <c r="J15" s="88"/>
      <c r="K15" s="88"/>
      <c r="L15" s="88"/>
      <c r="M15" s="88"/>
      <c r="N15" s="88"/>
      <c r="O15" s="88"/>
      <c r="P15" s="88"/>
    </row>
    <row r="16">
      <c r="A16" s="88"/>
      <c r="B16" s="91" t="s">
        <v>27</v>
      </c>
      <c r="C16" s="91" t="s">
        <v>253</v>
      </c>
      <c r="D16" s="91">
        <f>95/102*100</f>
        <v>93.1372549</v>
      </c>
      <c r="E16" s="91"/>
      <c r="F16" s="91"/>
      <c r="G16" s="91"/>
      <c r="H16" s="91"/>
      <c r="I16" s="88"/>
      <c r="J16" s="88"/>
      <c r="K16" s="88"/>
      <c r="L16" s="88"/>
      <c r="M16" s="88"/>
      <c r="N16" s="88"/>
      <c r="O16" s="88"/>
      <c r="P16" s="88"/>
    </row>
    <row r="17">
      <c r="A17" s="88"/>
      <c r="B17" s="64" t="s">
        <v>218</v>
      </c>
      <c r="C17" s="91"/>
      <c r="D17" s="91"/>
      <c r="E17" s="91"/>
      <c r="F17" s="91"/>
      <c r="G17" s="91"/>
      <c r="H17" s="91"/>
      <c r="I17" s="88"/>
      <c r="J17" s="88"/>
      <c r="K17" s="88"/>
      <c r="L17" s="88"/>
      <c r="M17" s="88"/>
      <c r="N17" s="88"/>
      <c r="O17" s="88"/>
      <c r="P17" s="88"/>
    </row>
    <row r="18">
      <c r="A18" s="88"/>
      <c r="B18" s="91" t="s">
        <v>32</v>
      </c>
      <c r="C18" s="91" t="s">
        <v>257</v>
      </c>
      <c r="D18" s="91">
        <f>120/200*100</f>
        <v>60</v>
      </c>
      <c r="E18" s="91"/>
      <c r="F18" s="91"/>
      <c r="G18" s="91"/>
      <c r="H18" s="91"/>
      <c r="I18" s="88"/>
      <c r="J18" s="88"/>
      <c r="K18" s="88"/>
      <c r="L18" s="88"/>
      <c r="M18" s="88"/>
      <c r="N18" s="88"/>
      <c r="O18" s="88"/>
      <c r="P18" s="88"/>
    </row>
    <row r="19">
      <c r="A19" s="88"/>
      <c r="B19" s="91" t="s">
        <v>33</v>
      </c>
      <c r="C19" s="91" t="s">
        <v>259</v>
      </c>
      <c r="D19" s="91">
        <f t="shared" ref="D19:D20" si="1">60/100*100</f>
        <v>60</v>
      </c>
      <c r="E19" s="91">
        <f>(2.5*60)/326*100</f>
        <v>46.01226994</v>
      </c>
      <c r="F19" s="91"/>
      <c r="G19" s="91"/>
      <c r="H19" s="91"/>
      <c r="I19" s="88"/>
      <c r="J19" s="88"/>
      <c r="K19" s="88"/>
      <c r="L19" s="88"/>
      <c r="M19" s="88"/>
      <c r="N19" s="88"/>
      <c r="O19" s="88"/>
      <c r="P19" s="88"/>
    </row>
    <row r="20">
      <c r="A20" s="88"/>
      <c r="B20" s="91" t="s">
        <v>34</v>
      </c>
      <c r="C20" s="91" t="s">
        <v>260</v>
      </c>
      <c r="D20" s="91">
        <f t="shared" si="1"/>
        <v>60</v>
      </c>
      <c r="E20" s="91">
        <f>95/212*100</f>
        <v>44.81132075</v>
      </c>
      <c r="F20" s="91"/>
      <c r="G20" s="91"/>
      <c r="H20" s="91"/>
      <c r="I20" s="88"/>
      <c r="J20" s="88"/>
      <c r="K20" s="88"/>
      <c r="L20" s="88"/>
      <c r="M20" s="88"/>
      <c r="N20" s="88"/>
      <c r="O20" s="88"/>
      <c r="P20" s="88"/>
    </row>
    <row r="21">
      <c r="A21" s="88"/>
      <c r="B21" s="91" t="s">
        <v>35</v>
      </c>
      <c r="C21" s="91" t="s">
        <v>261</v>
      </c>
      <c r="D21" s="91">
        <f>(9*60+30)/715*100</f>
        <v>79.72027972</v>
      </c>
      <c r="E21" s="91"/>
      <c r="F21" s="91"/>
      <c r="G21" s="91"/>
      <c r="H21" s="91"/>
      <c r="I21" s="88"/>
      <c r="J21" s="88"/>
      <c r="K21" s="88"/>
      <c r="L21" s="88"/>
      <c r="M21" s="88"/>
      <c r="N21" s="88"/>
      <c r="O21" s="88"/>
      <c r="P21" s="88"/>
    </row>
    <row r="22">
      <c r="A22" s="88"/>
      <c r="B22" s="91" t="s">
        <v>36</v>
      </c>
      <c r="C22" s="91" t="s">
        <v>263</v>
      </c>
      <c r="D22" s="91">
        <f>(5*60+25)/450*100</f>
        <v>72.22222222</v>
      </c>
      <c r="E22" s="91"/>
      <c r="F22" s="91"/>
      <c r="G22" s="91"/>
      <c r="H22" s="91"/>
      <c r="I22" s="88"/>
      <c r="J22" s="88"/>
      <c r="K22" s="88"/>
      <c r="L22" s="88"/>
      <c r="M22" s="88"/>
      <c r="N22" s="88"/>
      <c r="O22" s="88"/>
      <c r="P22" s="88"/>
    </row>
    <row r="23">
      <c r="A23" s="88"/>
      <c r="B23" s="91" t="s">
        <v>37</v>
      </c>
      <c r="C23" s="91" t="s">
        <v>264</v>
      </c>
      <c r="D23" s="91"/>
      <c r="E23" s="91"/>
      <c r="F23" s="91"/>
      <c r="G23" s="91"/>
      <c r="H23" s="91"/>
      <c r="I23" s="88"/>
      <c r="J23" s="88"/>
      <c r="K23" s="88"/>
      <c r="L23" s="88"/>
      <c r="M23" s="88"/>
      <c r="N23" s="88"/>
      <c r="O23" s="88"/>
      <c r="P23" s="88"/>
    </row>
    <row r="24">
      <c r="A24" s="88"/>
      <c r="B24" s="91" t="s">
        <v>270</v>
      </c>
      <c r="C24" s="91" t="s">
        <v>266</v>
      </c>
      <c r="D24" s="91"/>
      <c r="E24" s="91"/>
      <c r="F24" s="91"/>
      <c r="G24" s="91"/>
      <c r="H24" s="91"/>
      <c r="I24" s="88"/>
      <c r="J24" s="88"/>
      <c r="K24" s="88"/>
      <c r="L24" s="88"/>
      <c r="M24" s="88"/>
      <c r="N24" s="88"/>
      <c r="O24" s="88"/>
      <c r="P24" s="88"/>
    </row>
    <row r="25">
      <c r="A25" s="88"/>
      <c r="B25" s="91" t="s">
        <v>271</v>
      </c>
      <c r="C25" s="91" t="s">
        <v>267</v>
      </c>
      <c r="D25" s="91"/>
      <c r="E25" s="91"/>
      <c r="F25" s="91"/>
      <c r="G25" s="91"/>
      <c r="H25" s="91"/>
      <c r="I25" s="88"/>
      <c r="J25" s="88"/>
      <c r="K25" s="88"/>
      <c r="L25" s="88"/>
      <c r="M25" s="88"/>
      <c r="N25" s="88"/>
      <c r="O25" s="88"/>
      <c r="P25" s="88"/>
    </row>
    <row r="26">
      <c r="A26" s="88"/>
      <c r="B26" s="91" t="s">
        <v>12</v>
      </c>
      <c r="C26" s="91" t="s">
        <v>268</v>
      </c>
      <c r="D26" s="91"/>
      <c r="E26" s="91"/>
      <c r="F26" s="91"/>
      <c r="G26" s="91"/>
      <c r="H26" s="91"/>
      <c r="I26" s="88"/>
      <c r="J26" s="88"/>
      <c r="K26" s="88"/>
      <c r="L26" s="88"/>
      <c r="M26" s="88"/>
      <c r="N26" s="88"/>
      <c r="O26" s="88"/>
      <c r="P26" s="88"/>
    </row>
    <row r="27">
      <c r="A27" s="88"/>
      <c r="B27" s="91" t="s">
        <v>114</v>
      </c>
      <c r="C27" s="91"/>
      <c r="D27" s="91"/>
      <c r="E27" s="91"/>
      <c r="F27" s="91"/>
      <c r="G27" s="91"/>
      <c r="H27" s="91"/>
      <c r="I27" s="91"/>
      <c r="J27" s="91"/>
      <c r="K27" s="91"/>
      <c r="L27" s="91"/>
      <c r="M27" s="91"/>
      <c r="N27" s="91"/>
      <c r="O27" s="91"/>
      <c r="P27" s="91"/>
      <c r="Q27" s="91"/>
      <c r="R27" s="91"/>
      <c r="S27" s="88"/>
      <c r="T27" s="88"/>
      <c r="U27" s="88"/>
      <c r="V27" s="88"/>
      <c r="W27" s="88"/>
      <c r="X27" s="88"/>
      <c r="Y27" s="88"/>
      <c r="Z27" s="88"/>
    </row>
    <row r="28">
      <c r="A28" s="88"/>
      <c r="B28" s="91" t="s">
        <v>447</v>
      </c>
      <c r="C28" s="91"/>
      <c r="D28" s="91"/>
      <c r="E28" s="91"/>
      <c r="F28" s="91"/>
      <c r="G28" s="91"/>
      <c r="H28" s="91"/>
      <c r="I28" s="91"/>
      <c r="J28" s="91"/>
      <c r="K28" s="91"/>
      <c r="L28" s="91"/>
      <c r="M28" s="91"/>
      <c r="N28" s="91"/>
      <c r="O28" s="91"/>
      <c r="P28" s="91"/>
      <c r="Q28" s="91"/>
      <c r="R28" s="91"/>
      <c r="S28" s="88"/>
      <c r="T28" s="88"/>
      <c r="U28" s="88"/>
      <c r="V28" s="88"/>
      <c r="W28" s="88"/>
      <c r="X28" s="88"/>
      <c r="Y28" s="88"/>
      <c r="Z28" s="88"/>
    </row>
    <row r="29">
      <c r="A29" s="88"/>
      <c r="B29" s="91" t="s">
        <v>455</v>
      </c>
      <c r="C29" s="91"/>
      <c r="D29" s="91"/>
      <c r="E29" s="91"/>
      <c r="F29" s="91"/>
      <c r="G29" s="91"/>
      <c r="H29" s="91"/>
      <c r="I29" s="91"/>
      <c r="J29" s="91"/>
      <c r="K29" s="91"/>
      <c r="L29" s="91"/>
      <c r="M29" s="91"/>
      <c r="N29" s="91"/>
      <c r="O29" s="88"/>
      <c r="P29" s="88"/>
      <c r="Q29" s="88"/>
      <c r="R29" s="88"/>
      <c r="S29" s="88"/>
      <c r="T29" s="88"/>
      <c r="U29" s="88"/>
      <c r="V29" s="88"/>
    </row>
    <row r="30">
      <c r="A30" s="88"/>
      <c r="B30" s="91" t="s">
        <v>118</v>
      </c>
      <c r="C30" s="91"/>
      <c r="D30" s="91"/>
      <c r="E30" s="91"/>
      <c r="F30" s="91"/>
      <c r="G30" s="91"/>
      <c r="H30" s="91"/>
      <c r="I30" s="91"/>
      <c r="J30" s="91"/>
      <c r="K30" s="91"/>
      <c r="L30" s="91"/>
      <c r="M30" s="91"/>
      <c r="N30" s="91"/>
      <c r="O30" s="88"/>
      <c r="P30" s="88"/>
      <c r="Q30" s="88"/>
      <c r="R30" s="88"/>
      <c r="S30" s="88"/>
      <c r="T30" s="88"/>
      <c r="U30" s="88"/>
      <c r="V30" s="88"/>
    </row>
    <row r="31">
      <c r="A31" s="88"/>
      <c r="B31" s="91" t="s">
        <v>449</v>
      </c>
      <c r="C31" s="91"/>
      <c r="D31" s="91"/>
      <c r="E31" s="91"/>
      <c r="F31" s="91"/>
      <c r="G31" s="91"/>
      <c r="H31" s="91"/>
      <c r="I31" s="91"/>
      <c r="J31" s="91"/>
      <c r="K31" s="91"/>
      <c r="L31" s="91"/>
      <c r="M31" s="91"/>
      <c r="N31" s="91"/>
      <c r="O31" s="88"/>
      <c r="P31" s="88"/>
      <c r="Q31" s="88"/>
      <c r="R31" s="88"/>
      <c r="S31" s="88"/>
      <c r="T31" s="88"/>
      <c r="U31" s="88"/>
      <c r="V31" s="88"/>
    </row>
    <row r="32">
      <c r="A32" s="88"/>
      <c r="B32" s="91" t="s">
        <v>120</v>
      </c>
      <c r="C32" s="91"/>
      <c r="D32" s="91"/>
      <c r="E32" s="91"/>
      <c r="F32" s="91"/>
      <c r="G32" s="91"/>
      <c r="H32" s="91"/>
      <c r="I32" s="91"/>
      <c r="J32" s="91"/>
      <c r="K32" s="91"/>
      <c r="L32" s="91"/>
      <c r="M32" s="91"/>
      <c r="N32" s="91"/>
      <c r="O32" s="88"/>
      <c r="P32" s="88"/>
      <c r="Q32" s="88"/>
      <c r="R32" s="88"/>
      <c r="S32" s="88"/>
      <c r="T32" s="88"/>
      <c r="U32" s="88"/>
      <c r="V32" s="88"/>
    </row>
    <row r="33">
      <c r="A33" s="88"/>
      <c r="B33" s="91" t="s">
        <v>123</v>
      </c>
      <c r="C33" s="91"/>
      <c r="D33" s="91"/>
      <c r="E33" s="91"/>
      <c r="F33" s="91"/>
      <c r="G33" s="91"/>
      <c r="H33" s="91"/>
      <c r="I33" s="91"/>
      <c r="J33" s="91"/>
      <c r="K33" s="91"/>
      <c r="L33" s="91"/>
      <c r="M33" s="91"/>
      <c r="N33" s="91"/>
      <c r="O33" s="88"/>
      <c r="P33" s="88"/>
      <c r="Q33" s="88"/>
      <c r="R33" s="88"/>
      <c r="S33" s="88"/>
      <c r="T33" s="88"/>
      <c r="U33" s="88"/>
      <c r="V33" s="88"/>
    </row>
    <row r="34">
      <c r="A34" s="88"/>
      <c r="B34" s="91" t="s">
        <v>456</v>
      </c>
      <c r="C34" s="91"/>
      <c r="D34" s="91">
        <f>8*60/320*100</f>
        <v>150</v>
      </c>
      <c r="E34" s="91"/>
      <c r="F34" s="91"/>
      <c r="G34" s="91"/>
      <c r="H34" s="91"/>
      <c r="I34" s="91"/>
      <c r="J34" s="91"/>
      <c r="K34" s="91"/>
      <c r="L34" s="91"/>
      <c r="M34" s="91"/>
      <c r="N34" s="91"/>
      <c r="O34" s="92"/>
      <c r="P34" s="92"/>
      <c r="Q34" s="92"/>
      <c r="R34" s="92"/>
      <c r="S34" s="88"/>
      <c r="T34" s="88"/>
      <c r="U34" s="88"/>
      <c r="V34" s="88"/>
      <c r="W34" s="88"/>
      <c r="X34" s="88"/>
      <c r="Y34" s="88"/>
      <c r="Z34" s="88"/>
    </row>
    <row r="35">
      <c r="A35" s="88"/>
      <c r="B35" s="91" t="s">
        <v>457</v>
      </c>
      <c r="C35" s="91"/>
      <c r="D35" s="91"/>
      <c r="E35" s="91"/>
      <c r="F35" s="91"/>
      <c r="G35" s="91"/>
      <c r="H35" s="91"/>
      <c r="I35" s="91"/>
      <c r="J35" s="91"/>
      <c r="K35" s="91"/>
      <c r="L35" s="91"/>
      <c r="M35" s="91"/>
      <c r="N35" s="91"/>
      <c r="O35" s="92"/>
      <c r="P35" s="92"/>
      <c r="Q35" s="92"/>
      <c r="R35" s="92"/>
      <c r="S35" s="88"/>
      <c r="T35" s="88"/>
      <c r="U35" s="88"/>
      <c r="V35" s="88"/>
      <c r="W35" s="88"/>
      <c r="X35" s="88"/>
      <c r="Y35" s="88"/>
      <c r="Z35" s="88"/>
    </row>
    <row r="36">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row>
    <row r="37">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row>
    <row r="38">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row>
    <row r="39">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row>
    <row r="40">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row>
    <row r="44">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row>
    <row r="45">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row>
    <row r="46">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row>
    <row r="47">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row>
    <row r="48">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row>
    <row r="49">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row>
    <row r="50">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row>
    <row r="5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row>
    <row r="52">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row>
    <row r="53">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row>
    <row r="55">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row>
    <row r="56">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row>
    <row r="58">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row>
    <row r="59">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row>
    <row r="60">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row>
    <row r="6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row>
    <row r="62">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row>
    <row r="63">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row>
    <row r="64">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row>
    <row r="65">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row>
    <row r="66">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row>
    <row r="67">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row>
    <row r="68">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row>
    <row r="69">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row>
    <row r="70">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row>
    <row r="7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row>
    <row r="72">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row>
    <row r="73">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row>
    <row r="74">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row>
    <row r="75">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row>
    <row r="76">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row>
    <row r="77">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row>
    <row r="78">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row>
    <row r="79">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row>
    <row r="80">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row>
    <row r="8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row>
    <row r="82">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row>
    <row r="83">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row>
    <row r="84">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row>
    <row r="85">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row>
    <row r="86">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row>
    <row r="87">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row>
    <row r="88">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row>
    <row r="89">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row>
    <row r="90">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row>
    <row r="9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row>
    <row r="92">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row>
    <row r="93">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row>
    <row r="94">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row>
    <row r="95">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row>
    <row r="96">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row>
    <row r="97">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row>
    <row r="98">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row>
    <row r="99">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row>
    <row r="100">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row>
    <row r="10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row>
    <row r="102">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row>
    <row r="103">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row>
    <row r="104">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row>
    <row r="105">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row>
    <row r="106">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row>
    <row r="107">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row>
    <row r="108">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row>
    <row r="109">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row>
    <row r="110">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row>
    <row r="11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row>
    <row r="112">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row>
    <row r="113">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row>
    <row r="114">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row>
    <row r="252">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row>
    <row r="253">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row>
    <row r="254">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row>
    <row r="255">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row>
    <row r="256">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row>
    <row r="257">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row>
    <row r="258">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row>
    <row r="259">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row>
    <row r="260">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row>
    <row r="261">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row>
    <row r="262">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row>
    <row r="263">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row>
    <row r="264">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row>
    <row r="265">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row>
    <row r="266">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row>
    <row r="267">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row>
    <row r="268">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row>
    <row r="269">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row>
    <row r="270">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row>
    <row r="271">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row>
    <row r="272">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row>
    <row r="273">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row>
    <row r="274">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row>
    <row r="275">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row>
    <row r="276">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row>
    <row r="277">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row>
    <row r="278">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row>
    <row r="279">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row>
    <row r="280">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row>
    <row r="281">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row>
    <row r="282">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row>
    <row r="283">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row>
    <row r="284">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row>
    <row r="285">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row>
    <row r="286">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row>
    <row r="287">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row>
    <row r="288">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row>
    <row r="289">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row>
    <row r="290">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row>
    <row r="291">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row>
    <row r="292">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row>
    <row r="293">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row>
    <row r="294">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row>
    <row r="295">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row>
    <row r="296">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row>
    <row r="297">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row>
    <row r="298">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row>
    <row r="299">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row>
    <row r="300">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row>
    <row r="301">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row>
    <row r="302">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row>
    <row r="303">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row>
    <row r="304">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row>
    <row r="305">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row>
    <row r="306">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row>
    <row r="307">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row>
    <row r="308">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row>
    <row r="309">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row>
    <row r="310">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row>
    <row r="31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row>
    <row r="312">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row>
    <row r="313">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row>
    <row r="314">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row>
    <row r="315">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row>
    <row r="316">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row>
    <row r="317">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row>
    <row r="318">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row>
    <row r="319">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row>
    <row r="320">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row>
    <row r="32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row>
    <row r="322">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row>
    <row r="323">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row>
    <row r="324">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row>
    <row r="325">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row>
    <row r="326">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row>
    <row r="327">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row>
    <row r="328">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row>
    <row r="329">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row>
    <row r="330">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row>
    <row r="33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row>
    <row r="332">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row>
    <row r="333">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row>
    <row r="334">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row>
    <row r="335">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row>
    <row r="336">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row>
    <row r="337">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row>
    <row r="338">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row>
    <row r="339">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row>
    <row r="340">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row>
    <row r="34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row>
    <row r="342">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row>
    <row r="343">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row>
    <row r="344">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row>
    <row r="345">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row>
    <row r="346">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row>
    <row r="347">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row>
    <row r="348">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row>
    <row r="349">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row>
    <row r="350">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row>
    <row r="35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row>
    <row r="352">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row>
    <row r="353">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row>
    <row r="354">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row>
    <row r="355">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row>
    <row r="356">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row>
    <row r="357">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row>
    <row r="358">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row>
    <row r="359">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row>
    <row r="360">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row>
    <row r="36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row>
    <row r="362">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row>
    <row r="363">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row>
    <row r="364">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row>
    <row r="365">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row>
    <row r="366">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row>
    <row r="367">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row>
    <row r="368">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row>
    <row r="369">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row>
    <row r="370">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row>
    <row r="37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row>
    <row r="372">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row>
    <row r="373">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row>
    <row r="374">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row>
    <row r="375">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row>
    <row r="376">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row>
    <row r="377">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row>
    <row r="378">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row>
    <row r="379">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row>
    <row r="380">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row>
    <row r="38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row>
    <row r="382">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row>
    <row r="383">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row>
    <row r="384">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row>
    <row r="385">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row>
    <row r="386">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row>
    <row r="387">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row>
    <row r="388">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row>
    <row r="389">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row>
    <row r="390">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row>
    <row r="39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row>
    <row r="392">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row>
    <row r="393">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row>
    <row r="394">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row>
    <row r="395">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row>
    <row r="396">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row>
    <row r="397">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row>
    <row r="398">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row>
    <row r="399">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row>
    <row r="400">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row>
    <row r="40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row>
    <row r="402">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row>
    <row r="403">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row>
    <row r="404">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row>
    <row r="405">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row>
    <row r="406">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row>
    <row r="407">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row>
    <row r="408">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row>
    <row r="409">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row>
    <row r="410">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row>
    <row r="41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row>
    <row r="412">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row>
    <row r="413">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row>
    <row r="414">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row>
    <row r="415">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row>
    <row r="416">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row>
    <row r="417">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row>
    <row r="418">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row>
    <row r="419">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row>
    <row r="420">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row>
    <row r="42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row>
    <row r="422">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row>
    <row r="423">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row>
    <row r="424">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row>
    <row r="425">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row>
    <row r="426">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row>
    <row r="427">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row>
    <row r="428">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row>
    <row r="429">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row>
    <row r="430">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row>
    <row r="43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row>
    <row r="432">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row>
    <row r="433">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row>
    <row r="434">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row>
    <row r="435">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row>
    <row r="436">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row>
    <row r="437">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row>
    <row r="438">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row>
    <row r="439">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row>
    <row r="440">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row>
    <row r="44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row>
    <row r="442">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row>
    <row r="443">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row>
    <row r="444">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row>
    <row r="445">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row>
    <row r="446">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row>
    <row r="447">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row>
    <row r="448">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row>
    <row r="449">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row>
    <row r="450">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row>
    <row r="45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row>
    <row r="452">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row>
    <row r="453">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row>
    <row r="454">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row>
    <row r="455">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row>
    <row r="456">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row>
    <row r="457">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row>
    <row r="458">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row>
    <row r="459">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row>
    <row r="460">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row>
    <row r="46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row>
    <row r="462">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row>
    <row r="463">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row>
    <row r="464">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row>
    <row r="465">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row>
    <row r="466">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row>
    <row r="467">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row>
    <row r="468">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row>
    <row r="469">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row>
    <row r="470">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row>
    <row r="47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row>
    <row r="472">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row>
    <row r="473">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row>
    <row r="474">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row>
    <row r="475">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row>
    <row r="476">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row>
    <row r="477">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row>
    <row r="478">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row>
    <row r="479">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row>
    <row r="480">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row>
    <row r="48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row>
    <row r="482">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row>
    <row r="483">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row>
    <row r="484">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row>
    <row r="485">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row>
    <row r="486">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row>
    <row r="487">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row>
    <row r="488">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row>
    <row r="489">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row>
    <row r="490">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row>
    <row r="49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row>
    <row r="492">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row>
    <row r="493">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row>
    <row r="494">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row>
    <row r="495">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row>
    <row r="496">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row>
    <row r="497">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row>
    <row r="498">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row>
    <row r="499">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row>
    <row r="500">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row>
    <row r="50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row>
    <row r="502">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row>
    <row r="503">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row>
    <row r="504">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row>
    <row r="505">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row>
    <row r="506">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row>
    <row r="507">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row>
    <row r="508">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row>
    <row r="509">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row>
    <row r="510">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row>
    <row r="51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row>
    <row r="512">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row>
    <row r="513">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row>
    <row r="514">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row>
    <row r="515">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row>
    <row r="516">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row>
    <row r="517">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row>
    <row r="518">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row>
    <row r="519">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row>
    <row r="520">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row>
    <row r="52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row>
    <row r="522">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row>
    <row r="523">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row>
    <row r="524">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row>
    <row r="525">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row>
    <row r="526">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row>
    <row r="527">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row>
    <row r="528">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row>
    <row r="529">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row>
    <row r="530">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row>
    <row r="53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row>
    <row r="532">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row>
    <row r="533">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row>
    <row r="534">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row>
    <row r="535">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row>
    <row r="536">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row>
    <row r="537">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row>
    <row r="538">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row>
    <row r="539">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row>
    <row r="540">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row>
    <row r="54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row>
    <row r="542">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row>
    <row r="543">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row>
    <row r="544">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row>
    <row r="545">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row>
    <row r="546">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row>
    <row r="547">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row>
    <row r="548">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row>
    <row r="549">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row>
    <row r="550">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row>
    <row r="55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row>
    <row r="552">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row>
    <row r="553">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row>
    <row r="554">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row>
    <row r="555">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row>
    <row r="556">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row>
    <row r="557">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row>
    <row r="558">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row>
    <row r="559">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row>
    <row r="560">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row>
    <row r="56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row>
    <row r="562">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row>
    <row r="563">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row>
    <row r="564">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row>
    <row r="565">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row>
    <row r="566">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row>
    <row r="567">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row>
    <row r="568">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row>
    <row r="569">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row>
    <row r="570">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row>
    <row r="57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row>
    <row r="572">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row>
    <row r="573">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row>
    <row r="574">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row>
    <row r="575">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row>
    <row r="576">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row>
    <row r="577">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row>
    <row r="578">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row>
    <row r="579">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row>
    <row r="580">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row>
    <row r="58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row>
    <row r="582">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row>
    <row r="583">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row>
    <row r="584">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row>
    <row r="585">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row>
    <row r="586">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row>
    <row r="587">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row>
    <row r="588">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row>
    <row r="589">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row>
    <row r="590">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row>
    <row r="59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row>
    <row r="592">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row>
    <row r="593">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row>
    <row r="594">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row>
    <row r="595">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row>
    <row r="596">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row>
    <row r="597">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row>
    <row r="598">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row>
    <row r="599">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row>
    <row r="600">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row>
    <row r="60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row>
    <row r="602">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row>
    <row r="603">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row>
    <row r="604">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row>
    <row r="605">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row>
    <row r="606">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row>
    <row r="607">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row>
    <row r="608">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row>
    <row r="609">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row>
    <row r="610">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row>
    <row r="61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row>
    <row r="612">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row>
    <row r="613">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row>
    <row r="614">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row>
    <row r="615">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row>
    <row r="616">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row>
    <row r="617">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row>
    <row r="618">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row>
    <row r="619">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row>
    <row r="620">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row>
    <row r="62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row>
    <row r="622">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row>
    <row r="623">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row>
    <row r="624">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row>
    <row r="625">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row>
    <row r="626">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row>
    <row r="627">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row>
    <row r="628">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row>
    <row r="629">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row>
    <row r="630">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row>
    <row r="63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row>
    <row r="632">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row>
    <row r="633">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row>
    <row r="634">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row>
    <row r="635">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row>
    <row r="636">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row>
    <row r="637">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row>
    <row r="638">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row>
    <row r="639">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row>
    <row r="640">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row>
    <row r="64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row>
    <row r="642">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row>
    <row r="643">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row>
    <row r="644">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row>
    <row r="645">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row>
    <row r="646">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row>
    <row r="647">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row>
    <row r="648">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row>
    <row r="649">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row>
    <row r="650">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row>
    <row r="65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row>
    <row r="652">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row>
    <row r="653">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row>
    <row r="654">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row>
    <row r="655">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row>
    <row r="656">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row>
    <row r="657">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row>
    <row r="658">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row>
    <row r="659">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row>
    <row r="660">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row>
    <row r="66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row>
    <row r="662">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row>
    <row r="663">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row>
    <row r="664">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row>
    <row r="665">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row>
    <row r="666">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row>
    <row r="667">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row>
    <row r="668">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row>
    <row r="669">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row>
    <row r="670">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row>
    <row r="67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row>
    <row r="672">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row>
    <row r="673">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row>
    <row r="674">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row>
    <row r="675">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row>
    <row r="676">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row>
    <row r="677">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row>
    <row r="678">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row>
    <row r="679">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row>
    <row r="680">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row>
    <row r="68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row>
    <row r="682">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row>
    <row r="683">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row>
    <row r="684">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row>
    <row r="685">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row>
    <row r="686">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row>
    <row r="687">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row>
    <row r="688">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row>
    <row r="689">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row>
    <row r="690">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row>
    <row r="69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row>
    <row r="692">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row>
    <row r="693">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row>
    <row r="694">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row>
    <row r="695">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row>
    <row r="696">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row>
    <row r="697">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row>
    <row r="698">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row>
    <row r="699">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row>
    <row r="700">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row>
    <row r="70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row>
    <row r="702">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row>
    <row r="703">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row>
    <row r="704">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row>
    <row r="705">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row>
    <row r="706">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row>
    <row r="707">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row>
    <row r="708">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row>
    <row r="709">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row>
    <row r="710">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row>
    <row r="71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row>
    <row r="712">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row>
    <row r="713">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row>
    <row r="714">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row>
    <row r="715">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row>
    <row r="716">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row>
    <row r="717">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row>
    <row r="718">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row>
    <row r="719">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row>
    <row r="720">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row>
    <row r="72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row>
    <row r="722">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row>
    <row r="723">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row>
    <row r="724">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row>
    <row r="725">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row>
    <row r="726">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row>
    <row r="727">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row>
    <row r="728">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row>
    <row r="729">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row>
    <row r="730">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row>
    <row r="73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row>
    <row r="732">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row>
    <row r="733">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row>
    <row r="734">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row>
    <row r="735">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row>
    <row r="736">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row>
    <row r="737">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row>
    <row r="738">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row>
    <row r="739">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row>
    <row r="740">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row>
    <row r="74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row>
    <row r="742">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row>
    <row r="743">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row>
    <row r="744">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row>
    <row r="745">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row>
    <row r="746">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row>
    <row r="747">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row>
    <row r="748">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row>
    <row r="749">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row>
    <row r="750">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row>
    <row r="75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row>
    <row r="752">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row>
    <row r="753">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row>
    <row r="754">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row>
    <row r="755">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row>
    <row r="756">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row>
    <row r="757">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row>
    <row r="758">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row>
    <row r="759">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row>
    <row r="760">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row>
    <row r="76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row>
    <row r="762">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row>
    <row r="763">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row>
    <row r="764">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row>
    <row r="765">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row>
    <row r="766">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row>
    <row r="767">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row>
    <row r="768">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row>
    <row r="769">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row>
    <row r="770">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row>
    <row r="77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row>
    <row r="772">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row>
    <row r="773">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row>
    <row r="774">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row>
    <row r="775">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row>
    <row r="776">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row>
    <row r="777">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row>
    <row r="778">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row>
    <row r="779">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row>
    <row r="780">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row>
    <row r="78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row>
    <row r="782">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row>
    <row r="783">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row>
    <row r="784">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row>
    <row r="785">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row>
    <row r="786">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row>
    <row r="787">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row>
    <row r="788">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row>
    <row r="789">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row>
    <row r="790">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row>
    <row r="79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row>
    <row r="792">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row>
    <row r="793">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row>
    <row r="794">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row>
    <row r="795">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row>
    <row r="796">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row>
    <row r="797">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row>
    <row r="798">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row>
    <row r="799">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row>
    <row r="800">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row>
    <row r="80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row>
    <row r="802">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row>
    <row r="803">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row>
    <row r="804">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row>
    <row r="805">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row>
    <row r="806">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row>
    <row r="807">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row>
    <row r="808">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row>
    <row r="809">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row>
    <row r="810">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row>
    <row r="81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row>
    <row r="812">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row>
    <row r="813">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row>
    <row r="814">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row>
    <row r="815">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row>
    <row r="816">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row>
    <row r="817">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row>
    <row r="818">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row>
    <row r="819">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row>
    <row r="820">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row>
    <row r="82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row>
    <row r="822">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row>
    <row r="823">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row>
    <row r="824">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row>
    <row r="825">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row>
    <row r="826">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row>
    <row r="827">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row>
    <row r="828">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row>
    <row r="829">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row>
    <row r="830">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row>
    <row r="83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row>
    <row r="832">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row>
    <row r="833">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row>
    <row r="834">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row>
    <row r="835">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row>
    <row r="836">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row>
    <row r="837">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row>
    <row r="838">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row>
    <row r="839">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row>
    <row r="840">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row>
    <row r="84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row>
    <row r="842">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row>
    <row r="843">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row>
    <row r="844">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row>
    <row r="845">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row>
    <row r="846">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row>
    <row r="847">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row>
    <row r="848">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row>
    <row r="849">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row>
    <row r="850">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row>
    <row r="85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row>
    <row r="852">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row>
    <row r="853">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row>
    <row r="854">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row>
    <row r="855">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row>
    <row r="856">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row>
    <row r="857">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row>
    <row r="858">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row>
    <row r="859">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row>
    <row r="860">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row>
    <row r="86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row>
    <row r="862">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row>
    <row r="863">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row>
    <row r="864">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row>
    <row r="865">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row>
    <row r="866">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row>
    <row r="867">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row>
    <row r="868">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row>
    <row r="869">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row>
    <row r="870">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row>
    <row r="87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row>
    <row r="872">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row>
    <row r="873">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row>
    <row r="874">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row>
    <row r="875">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row>
    <row r="876">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row>
    <row r="877">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row>
    <row r="878">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row>
    <row r="879">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row>
    <row r="880">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row>
    <row r="88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row>
    <row r="882">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row>
    <row r="883">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row>
    <row r="884">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row>
    <row r="885">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row>
    <row r="886">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row>
    <row r="887">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row>
    <row r="888">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row>
    <row r="889">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row>
    <row r="890">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row>
    <row r="89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row>
    <row r="892">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row>
    <row r="893">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row>
    <row r="894">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row>
    <row r="895">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row>
    <row r="896">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row>
    <row r="897">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row>
    <row r="898">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row>
    <row r="899">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row>
    <row r="900">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row>
    <row r="90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row>
    <row r="902">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row>
    <row r="903">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row>
    <row r="904">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row>
    <row r="905">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row>
    <row r="906">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row>
    <row r="907">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row>
    <row r="908">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row>
    <row r="909">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row>
    <row r="910">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row>
    <row r="91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row>
    <row r="912">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row>
    <row r="913">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row>
    <row r="914">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row>
    <row r="915">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row>
    <row r="916">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row>
    <row r="917">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row>
    <row r="918">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row>
    <row r="919">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row>
    <row r="920">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row>
    <row r="92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row>
    <row r="922">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row>
    <row r="923">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row>
    <row r="924">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row>
    <row r="925">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row>
    <row r="926">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row>
    <row r="927">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row>
    <row r="928">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row>
    <row r="929">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row>
    <row r="930">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row>
    <row r="93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row>
    <row r="932">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row>
    <row r="933">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row>
    <row r="934">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row>
    <row r="935">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row>
    <row r="936">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row>
    <row r="937">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row>
    <row r="938">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row>
    <row r="939">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row>
    <row r="940">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row>
    <row r="94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row>
    <row r="942">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row>
    <row r="943">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row>
    <row r="944">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row>
    <row r="945">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row>
    <row r="946">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row>
    <row r="947">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row>
    <row r="948">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row>
    <row r="949">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row>
    <row r="950">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row>
    <row r="95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row>
    <row r="952">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row>
    <row r="953">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row>
    <row r="954">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row>
    <row r="955">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row>
    <row r="956">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row>
    <row r="957">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row>
    <row r="958">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row>
    <row r="959">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row>
    <row r="960">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row>
    <row r="96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row>
    <row r="962">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row>
    <row r="963">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row>
    <row r="964">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row>
    <row r="965">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row>
    <row r="966">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row>
    <row r="967">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row>
    <row r="968">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row>
    <row r="969">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row>
    <row r="970">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row>
    <row r="97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row>
    <row r="972">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row>
    <row r="973">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row>
    <row r="974">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row>
    <row r="975">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row>
    <row r="976">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row>
    <row r="977">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row>
    <row r="978">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row>
    <row r="979">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row>
    <row r="980">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row>
    <row r="98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row>
    <row r="982">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row>
    <row r="983">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row>
    <row r="984">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row>
    <row r="985">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row>
    <row r="986">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row>
    <row r="987">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row>
    <row r="988">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row>
    <row r="989">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row>
    <row r="990">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row>
    <row r="99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row>
    <row r="992">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row>
    <row r="993">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row>
    <row r="994">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row>
    <row r="995">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row>
    <row r="996">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row>
    <row r="997">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row>
    <row r="998">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row>
    <row r="999">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row>
    <row r="1000">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row>
    <row r="1001">
      <c r="A1001" s="88"/>
      <c r="B1001" s="88"/>
      <c r="C1001" s="88"/>
      <c r="D1001" s="88"/>
      <c r="E1001" s="88"/>
      <c r="F1001" s="88"/>
      <c r="G1001" s="88"/>
      <c r="H1001" s="88"/>
      <c r="I1001" s="88"/>
      <c r="J1001" s="88"/>
      <c r="K1001" s="88"/>
      <c r="L1001" s="88"/>
      <c r="M1001" s="88"/>
      <c r="N1001" s="88"/>
      <c r="O1001" s="88"/>
      <c r="P1001" s="88"/>
      <c r="Q1001" s="88"/>
      <c r="R1001" s="88"/>
      <c r="S1001" s="88"/>
      <c r="T1001" s="88"/>
      <c r="U1001" s="88"/>
      <c r="V1001" s="88"/>
      <c r="W1001" s="88"/>
      <c r="X1001" s="88"/>
      <c r="Y1001" s="88"/>
      <c r="Z1001" s="88"/>
    </row>
    <row r="1002">
      <c r="A1002" s="88"/>
      <c r="B1002" s="88"/>
      <c r="C1002" s="88"/>
      <c r="D1002" s="88"/>
      <c r="E1002" s="88"/>
      <c r="F1002" s="88"/>
      <c r="G1002" s="88"/>
      <c r="H1002" s="88"/>
      <c r="I1002" s="88"/>
      <c r="J1002" s="88"/>
      <c r="K1002" s="88"/>
      <c r="L1002" s="88"/>
      <c r="M1002" s="88"/>
      <c r="N1002" s="88"/>
      <c r="O1002" s="88"/>
      <c r="P1002" s="88"/>
      <c r="Q1002" s="88"/>
      <c r="R1002" s="88"/>
      <c r="S1002" s="88"/>
      <c r="T1002" s="88"/>
      <c r="U1002" s="88"/>
      <c r="V1002" s="88"/>
      <c r="W1002" s="88"/>
      <c r="X1002" s="88"/>
      <c r="Y1002" s="88"/>
      <c r="Z1002" s="88"/>
    </row>
  </sheetData>
  <drawing r:id="rId2"/>
  <legacyDrawing r:id="rId3"/>
  <tableParts count="1">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25"/>
    <col customWidth="1" min="4" max="8" width="17.88"/>
  </cols>
  <sheetData>
    <row r="1">
      <c r="A1" s="88"/>
      <c r="B1" s="90" t="s">
        <v>442</v>
      </c>
      <c r="C1" s="90" t="s">
        <v>214</v>
      </c>
      <c r="D1" s="90" t="s">
        <v>443</v>
      </c>
      <c r="E1" s="90" t="s">
        <v>443</v>
      </c>
      <c r="F1" s="90" t="s">
        <v>443</v>
      </c>
      <c r="G1" s="90" t="s">
        <v>443</v>
      </c>
      <c r="H1" s="90" t="s">
        <v>443</v>
      </c>
      <c r="I1" s="90" t="s">
        <v>443</v>
      </c>
      <c r="J1" s="90" t="s">
        <v>443</v>
      </c>
      <c r="K1" s="90" t="s">
        <v>443</v>
      </c>
      <c r="L1" s="90" t="s">
        <v>443</v>
      </c>
      <c r="M1" s="90" t="s">
        <v>443</v>
      </c>
      <c r="N1" s="90" t="s">
        <v>443</v>
      </c>
      <c r="O1" s="90" t="s">
        <v>443</v>
      </c>
      <c r="P1" s="90" t="s">
        <v>443</v>
      </c>
      <c r="Q1" s="90" t="s">
        <v>443</v>
      </c>
      <c r="R1" s="90" t="s">
        <v>443</v>
      </c>
      <c r="S1" s="88"/>
      <c r="T1" s="88"/>
      <c r="U1" s="88"/>
      <c r="V1" s="88"/>
      <c r="W1" s="88"/>
      <c r="X1" s="88"/>
      <c r="Y1" s="88"/>
      <c r="Z1" s="88"/>
    </row>
    <row r="2">
      <c r="A2" s="88"/>
      <c r="B2" s="90" t="s">
        <v>5</v>
      </c>
      <c r="C2" s="90" t="s">
        <v>225</v>
      </c>
      <c r="D2" s="91"/>
      <c r="E2" s="91"/>
      <c r="F2" s="91"/>
      <c r="G2" s="91"/>
      <c r="H2" s="91"/>
      <c r="I2" s="88"/>
      <c r="J2" s="88"/>
      <c r="K2" s="88"/>
      <c r="L2" s="88"/>
      <c r="M2" s="88"/>
      <c r="N2" s="88"/>
      <c r="O2" s="88"/>
      <c r="P2" s="88"/>
    </row>
    <row r="3">
      <c r="A3" s="88"/>
      <c r="B3" s="91" t="s">
        <v>6</v>
      </c>
      <c r="C3" s="91" t="s">
        <v>228</v>
      </c>
      <c r="D3" s="91"/>
      <c r="E3" s="91"/>
      <c r="F3" s="91"/>
      <c r="G3" s="91"/>
      <c r="H3" s="91"/>
      <c r="I3" s="88"/>
      <c r="J3" s="88"/>
      <c r="K3" s="88"/>
      <c r="L3" s="88"/>
      <c r="M3" s="88"/>
      <c r="N3" s="88"/>
      <c r="O3" s="88"/>
      <c r="P3" s="88"/>
    </row>
    <row r="4">
      <c r="A4" s="88"/>
      <c r="B4" s="91" t="s">
        <v>7</v>
      </c>
      <c r="C4" s="91" t="s">
        <v>231</v>
      </c>
      <c r="D4" s="91"/>
      <c r="E4" s="91"/>
      <c r="F4" s="91"/>
      <c r="G4" s="91"/>
      <c r="H4" s="91"/>
      <c r="I4" s="88"/>
      <c r="J4" s="88"/>
      <c r="K4" s="88"/>
      <c r="L4" s="88"/>
      <c r="M4" s="88"/>
      <c r="N4" s="88"/>
      <c r="O4" s="88"/>
      <c r="P4" s="88"/>
    </row>
    <row r="5">
      <c r="A5" s="88"/>
      <c r="B5" s="91" t="s">
        <v>14</v>
      </c>
      <c r="C5" s="91" t="s">
        <v>234</v>
      </c>
      <c r="D5" s="91"/>
      <c r="E5" s="91"/>
      <c r="F5" s="91"/>
      <c r="G5" s="91"/>
      <c r="H5" s="91"/>
      <c r="I5" s="88"/>
      <c r="J5" s="88"/>
      <c r="K5" s="88"/>
      <c r="L5" s="88"/>
      <c r="M5" s="88"/>
      <c r="N5" s="88"/>
      <c r="O5" s="88"/>
      <c r="P5" s="88"/>
    </row>
    <row r="6">
      <c r="A6" s="88"/>
      <c r="B6" s="91" t="s">
        <v>15</v>
      </c>
      <c r="C6" s="91" t="s">
        <v>235</v>
      </c>
      <c r="D6" s="91"/>
      <c r="E6" s="91"/>
      <c r="F6" s="91"/>
      <c r="G6" s="91"/>
      <c r="H6" s="91"/>
      <c r="I6" s="88"/>
      <c r="J6" s="88"/>
      <c r="K6" s="88"/>
      <c r="L6" s="88"/>
      <c r="M6" s="88"/>
      <c r="N6" s="88"/>
      <c r="O6" s="88"/>
      <c r="P6" s="88"/>
    </row>
    <row r="7">
      <c r="A7" s="88"/>
      <c r="B7" s="91" t="s">
        <v>16</v>
      </c>
      <c r="C7" s="91" t="s">
        <v>237</v>
      </c>
      <c r="D7" s="91"/>
      <c r="E7" s="91"/>
      <c r="F7" s="91"/>
      <c r="G7" s="91"/>
      <c r="H7" s="91"/>
      <c r="I7" s="88"/>
      <c r="J7" s="88"/>
      <c r="K7" s="88"/>
      <c r="L7" s="88"/>
      <c r="M7" s="88"/>
      <c r="N7" s="88"/>
      <c r="O7" s="88"/>
      <c r="P7" s="88"/>
    </row>
    <row r="8">
      <c r="A8" s="88"/>
      <c r="B8" s="91" t="s">
        <v>17</v>
      </c>
      <c r="C8" s="91" t="s">
        <v>238</v>
      </c>
      <c r="D8" s="91"/>
      <c r="E8" s="91"/>
      <c r="F8" s="91"/>
      <c r="G8" s="91"/>
      <c r="H8" s="91"/>
      <c r="I8" s="88"/>
      <c r="J8" s="88"/>
      <c r="K8" s="88"/>
      <c r="L8" s="88"/>
      <c r="M8" s="88"/>
      <c r="N8" s="88"/>
      <c r="O8" s="88"/>
      <c r="P8" s="88"/>
    </row>
    <row r="9">
      <c r="A9" s="88"/>
      <c r="B9" s="91" t="s">
        <v>18</v>
      </c>
      <c r="C9" s="91" t="s">
        <v>240</v>
      </c>
      <c r="D9" s="91"/>
      <c r="E9" s="91"/>
      <c r="F9" s="91"/>
      <c r="G9" s="91"/>
      <c r="H9" s="91"/>
      <c r="I9" s="88"/>
      <c r="J9" s="88"/>
      <c r="K9" s="88"/>
      <c r="L9" s="88"/>
      <c r="M9" s="88"/>
      <c r="N9" s="88"/>
      <c r="O9" s="88"/>
      <c r="P9" s="88"/>
    </row>
    <row r="10">
      <c r="A10" s="88"/>
      <c r="B10" s="91" t="s">
        <v>22</v>
      </c>
      <c r="C10" s="91" t="s">
        <v>245</v>
      </c>
      <c r="D10" s="91"/>
      <c r="E10" s="91"/>
      <c r="F10" s="91"/>
      <c r="G10" s="91"/>
      <c r="H10" s="91"/>
      <c r="I10" s="88"/>
      <c r="J10" s="88"/>
      <c r="K10" s="88"/>
      <c r="L10" s="88"/>
      <c r="M10" s="88"/>
      <c r="N10" s="88"/>
      <c r="O10" s="88"/>
      <c r="P10" s="88"/>
    </row>
    <row r="11">
      <c r="A11" s="88"/>
      <c r="B11" s="91" t="s">
        <v>23</v>
      </c>
      <c r="C11" s="91" t="s">
        <v>247</v>
      </c>
      <c r="D11" s="91"/>
      <c r="E11" s="91"/>
      <c r="F11" s="91"/>
      <c r="G11" s="91"/>
      <c r="H11" s="91"/>
      <c r="I11" s="88"/>
      <c r="J11" s="88"/>
      <c r="K11" s="88"/>
      <c r="L11" s="88"/>
      <c r="M11" s="88"/>
      <c r="N11" s="88"/>
      <c r="O11" s="88"/>
      <c r="P11" s="88"/>
    </row>
    <row r="12">
      <c r="A12" s="88"/>
      <c r="B12" s="91" t="s">
        <v>71</v>
      </c>
      <c r="C12" s="91" t="s">
        <v>249</v>
      </c>
      <c r="D12" s="91"/>
      <c r="E12" s="91"/>
      <c r="F12" s="91"/>
      <c r="G12" s="91"/>
      <c r="H12" s="91"/>
      <c r="I12" s="88"/>
      <c r="J12" s="88"/>
      <c r="K12" s="88"/>
      <c r="L12" s="88"/>
      <c r="M12" s="88"/>
      <c r="N12" s="88"/>
      <c r="O12" s="88"/>
      <c r="P12" s="88"/>
    </row>
    <row r="13">
      <c r="A13" s="88"/>
      <c r="B13" s="91" t="s">
        <v>24</v>
      </c>
      <c r="C13" s="91" t="s">
        <v>251</v>
      </c>
      <c r="D13" s="91"/>
      <c r="E13" s="91"/>
      <c r="F13" s="91"/>
      <c r="G13" s="91"/>
      <c r="H13" s="91"/>
      <c r="I13" s="88"/>
      <c r="J13" s="88"/>
      <c r="K13" s="88"/>
      <c r="L13" s="88"/>
      <c r="M13" s="88"/>
      <c r="N13" s="88"/>
      <c r="O13" s="88"/>
      <c r="P13" s="88"/>
    </row>
    <row r="14">
      <c r="A14" s="88"/>
      <c r="B14" s="91" t="s">
        <v>217</v>
      </c>
      <c r="C14" s="91"/>
      <c r="D14" s="91"/>
      <c r="E14" s="91"/>
      <c r="F14" s="91"/>
      <c r="G14" s="91"/>
      <c r="H14" s="91"/>
      <c r="I14" s="88"/>
      <c r="J14" s="88"/>
      <c r="K14" s="88"/>
      <c r="L14" s="88"/>
      <c r="M14" s="88"/>
      <c r="N14" s="88"/>
      <c r="O14" s="88"/>
      <c r="P14" s="88"/>
    </row>
    <row r="15">
      <c r="A15" s="88"/>
      <c r="B15" s="91" t="s">
        <v>26</v>
      </c>
      <c r="C15" s="91" t="s">
        <v>252</v>
      </c>
      <c r="D15" s="91"/>
      <c r="E15" s="91"/>
      <c r="F15" s="91"/>
      <c r="G15" s="91"/>
      <c r="H15" s="91"/>
      <c r="I15" s="88"/>
      <c r="J15" s="88"/>
      <c r="K15" s="88"/>
      <c r="L15" s="88"/>
      <c r="M15" s="88"/>
      <c r="N15" s="88"/>
      <c r="O15" s="88"/>
      <c r="P15" s="88"/>
    </row>
    <row r="16">
      <c r="A16" s="88"/>
      <c r="B16" s="91" t="s">
        <v>27</v>
      </c>
      <c r="C16" s="91" t="s">
        <v>253</v>
      </c>
      <c r="D16" s="91"/>
      <c r="E16" s="91"/>
      <c r="F16" s="91"/>
      <c r="G16" s="91"/>
      <c r="H16" s="91"/>
      <c r="I16" s="88"/>
      <c r="J16" s="88"/>
      <c r="K16" s="88"/>
      <c r="L16" s="88"/>
      <c r="M16" s="88"/>
      <c r="N16" s="88"/>
      <c r="O16" s="88"/>
      <c r="P16" s="88"/>
    </row>
    <row r="17">
      <c r="A17" s="88"/>
      <c r="B17" s="64" t="s">
        <v>218</v>
      </c>
      <c r="C17" s="91"/>
      <c r="D17" s="91"/>
      <c r="E17" s="91"/>
      <c r="F17" s="91"/>
      <c r="G17" s="91"/>
      <c r="H17" s="91"/>
      <c r="I17" s="88"/>
      <c r="J17" s="88"/>
      <c r="K17" s="88"/>
      <c r="L17" s="88"/>
      <c r="M17" s="88"/>
      <c r="N17" s="88"/>
      <c r="O17" s="88"/>
      <c r="P17" s="88"/>
    </row>
    <row r="18">
      <c r="A18" s="88"/>
      <c r="B18" s="91" t="s">
        <v>32</v>
      </c>
      <c r="C18" s="91" t="s">
        <v>257</v>
      </c>
      <c r="D18" s="91"/>
      <c r="E18" s="91"/>
      <c r="F18" s="91"/>
      <c r="G18" s="91"/>
      <c r="H18" s="91"/>
      <c r="I18" s="88"/>
      <c r="J18" s="88"/>
      <c r="K18" s="88"/>
      <c r="L18" s="88"/>
      <c r="M18" s="88"/>
      <c r="N18" s="88"/>
      <c r="O18" s="88"/>
      <c r="P18" s="88"/>
    </row>
    <row r="19">
      <c r="A19" s="88"/>
      <c r="B19" s="91" t="s">
        <v>33</v>
      </c>
      <c r="C19" s="91" t="s">
        <v>259</v>
      </c>
      <c r="D19" s="91"/>
      <c r="E19" s="91"/>
      <c r="F19" s="91"/>
      <c r="G19" s="91"/>
      <c r="H19" s="91"/>
      <c r="I19" s="88"/>
      <c r="J19" s="88"/>
      <c r="K19" s="88"/>
      <c r="L19" s="88"/>
      <c r="M19" s="88"/>
      <c r="N19" s="88"/>
      <c r="O19" s="88"/>
      <c r="P19" s="88"/>
    </row>
    <row r="20">
      <c r="A20" s="88"/>
      <c r="B20" s="91" t="s">
        <v>34</v>
      </c>
      <c r="C20" s="91" t="s">
        <v>260</v>
      </c>
      <c r="D20" s="91"/>
      <c r="E20" s="91"/>
      <c r="F20" s="91"/>
      <c r="G20" s="91"/>
      <c r="H20" s="91"/>
      <c r="I20" s="88"/>
      <c r="J20" s="88"/>
      <c r="K20" s="88"/>
      <c r="L20" s="88"/>
      <c r="M20" s="88"/>
      <c r="N20" s="88"/>
      <c r="O20" s="88"/>
      <c r="P20" s="88"/>
    </row>
    <row r="21">
      <c r="A21" s="88"/>
      <c r="B21" s="91" t="s">
        <v>35</v>
      </c>
      <c r="C21" s="91" t="s">
        <v>261</v>
      </c>
      <c r="D21" s="91"/>
      <c r="E21" s="91"/>
      <c r="F21" s="91"/>
      <c r="G21" s="91"/>
      <c r="H21" s="91"/>
      <c r="I21" s="88"/>
      <c r="J21" s="88"/>
      <c r="K21" s="88"/>
      <c r="L21" s="88"/>
      <c r="M21" s="88"/>
      <c r="N21" s="88"/>
      <c r="O21" s="88"/>
      <c r="P21" s="88"/>
    </row>
    <row r="22">
      <c r="A22" s="88"/>
      <c r="B22" s="91" t="s">
        <v>36</v>
      </c>
      <c r="C22" s="91" t="s">
        <v>263</v>
      </c>
      <c r="D22" s="91"/>
      <c r="E22" s="91"/>
      <c r="F22" s="91"/>
      <c r="G22" s="91"/>
      <c r="H22" s="91"/>
      <c r="I22" s="88"/>
      <c r="J22" s="88"/>
      <c r="K22" s="88"/>
      <c r="L22" s="88"/>
      <c r="M22" s="88"/>
      <c r="N22" s="88"/>
      <c r="O22" s="88"/>
      <c r="P22" s="88"/>
    </row>
    <row r="23">
      <c r="A23" s="88"/>
      <c r="B23" s="91" t="s">
        <v>37</v>
      </c>
      <c r="C23" s="91" t="s">
        <v>264</v>
      </c>
      <c r="D23" s="91"/>
      <c r="E23" s="91"/>
      <c r="F23" s="91"/>
      <c r="G23" s="91"/>
      <c r="H23" s="91"/>
      <c r="I23" s="88"/>
      <c r="J23" s="88"/>
      <c r="K23" s="88"/>
      <c r="L23" s="88"/>
      <c r="M23" s="88"/>
      <c r="N23" s="88"/>
      <c r="O23" s="88"/>
      <c r="P23" s="88"/>
    </row>
    <row r="24">
      <c r="A24" s="88"/>
      <c r="B24" s="91" t="s">
        <v>270</v>
      </c>
      <c r="C24" s="91" t="s">
        <v>266</v>
      </c>
      <c r="D24" s="91"/>
      <c r="E24" s="91"/>
      <c r="F24" s="91"/>
      <c r="G24" s="91"/>
      <c r="H24" s="91"/>
      <c r="I24" s="88"/>
      <c r="J24" s="88"/>
      <c r="K24" s="88"/>
      <c r="L24" s="88"/>
      <c r="M24" s="88"/>
      <c r="N24" s="88"/>
      <c r="O24" s="88"/>
      <c r="P24" s="88"/>
    </row>
    <row r="25">
      <c r="A25" s="88"/>
      <c r="B25" s="91" t="s">
        <v>271</v>
      </c>
      <c r="C25" s="91" t="s">
        <v>267</v>
      </c>
      <c r="D25" s="91">
        <f>(60*2+45)/192*100</f>
        <v>85.9375</v>
      </c>
      <c r="E25" s="91"/>
      <c r="F25" s="91"/>
      <c r="G25" s="91"/>
      <c r="H25" s="91"/>
      <c r="I25" s="88"/>
      <c r="J25" s="88"/>
      <c r="K25" s="88"/>
      <c r="L25" s="88"/>
      <c r="M25" s="88"/>
      <c r="N25" s="88"/>
      <c r="O25" s="88"/>
      <c r="P25" s="88"/>
    </row>
    <row r="26">
      <c r="A26" s="88"/>
      <c r="B26" s="91" t="s">
        <v>12</v>
      </c>
      <c r="C26" s="91" t="s">
        <v>268</v>
      </c>
      <c r="D26" s="91"/>
      <c r="E26" s="91"/>
      <c r="F26" s="91"/>
      <c r="G26" s="91"/>
      <c r="H26" s="91"/>
      <c r="I26" s="88"/>
      <c r="J26" s="88"/>
      <c r="K26" s="88"/>
      <c r="L26" s="88"/>
      <c r="M26" s="88"/>
      <c r="N26" s="88"/>
      <c r="O26" s="88"/>
      <c r="P26" s="88"/>
    </row>
    <row r="27">
      <c r="A27" s="88"/>
      <c r="B27" s="91" t="s">
        <v>114</v>
      </c>
      <c r="C27" s="91"/>
      <c r="D27" s="91"/>
      <c r="E27" s="91"/>
      <c r="F27" s="91"/>
      <c r="G27" s="91"/>
      <c r="H27" s="91"/>
      <c r="I27" s="91"/>
      <c r="J27" s="91"/>
      <c r="K27" s="91"/>
      <c r="L27" s="91"/>
      <c r="M27" s="91"/>
      <c r="N27" s="91"/>
      <c r="O27" s="91"/>
      <c r="P27" s="91"/>
      <c r="Q27" s="91"/>
      <c r="R27" s="91"/>
      <c r="S27" s="88"/>
      <c r="T27" s="88"/>
      <c r="U27" s="88"/>
      <c r="V27" s="88"/>
      <c r="W27" s="88"/>
      <c r="X27" s="88"/>
      <c r="Y27" s="88"/>
      <c r="Z27" s="88"/>
    </row>
    <row r="28">
      <c r="A28" s="88"/>
      <c r="B28" s="91" t="s">
        <v>447</v>
      </c>
      <c r="C28" s="91"/>
      <c r="D28" s="91"/>
      <c r="E28" s="91"/>
      <c r="F28" s="91"/>
      <c r="G28" s="91"/>
      <c r="H28" s="91"/>
      <c r="I28" s="91"/>
      <c r="J28" s="91"/>
      <c r="K28" s="91"/>
      <c r="L28" s="91"/>
      <c r="M28" s="91"/>
      <c r="N28" s="91"/>
      <c r="O28" s="91"/>
      <c r="P28" s="91"/>
      <c r="Q28" s="91"/>
      <c r="R28" s="91"/>
      <c r="S28" s="88"/>
      <c r="T28" s="88"/>
      <c r="U28" s="88"/>
      <c r="V28" s="88"/>
      <c r="W28" s="88"/>
      <c r="X28" s="88"/>
      <c r="Y28" s="88"/>
      <c r="Z28" s="88"/>
    </row>
    <row r="29">
      <c r="A29" s="88"/>
      <c r="B29" s="91" t="s">
        <v>455</v>
      </c>
      <c r="C29" s="91"/>
      <c r="D29" s="91"/>
      <c r="E29" s="91"/>
      <c r="F29" s="91"/>
      <c r="G29" s="91"/>
      <c r="H29" s="91"/>
      <c r="I29" s="91"/>
      <c r="J29" s="91"/>
      <c r="K29" s="91"/>
      <c r="L29" s="91"/>
      <c r="M29" s="91"/>
      <c r="N29" s="91"/>
      <c r="O29" s="88"/>
      <c r="P29" s="88"/>
      <c r="Q29" s="88"/>
      <c r="R29" s="88"/>
      <c r="S29" s="88"/>
      <c r="T29" s="88"/>
      <c r="U29" s="88"/>
      <c r="V29" s="88"/>
    </row>
    <row r="30">
      <c r="A30" s="88"/>
      <c r="B30" s="91" t="s">
        <v>118</v>
      </c>
      <c r="C30" s="91"/>
      <c r="D30" s="91"/>
      <c r="E30" s="91"/>
      <c r="F30" s="91"/>
      <c r="G30" s="91"/>
      <c r="H30" s="91"/>
      <c r="I30" s="91"/>
      <c r="J30" s="91"/>
      <c r="K30" s="91"/>
      <c r="L30" s="91"/>
      <c r="M30" s="91"/>
      <c r="N30" s="91"/>
      <c r="O30" s="88"/>
      <c r="P30" s="88"/>
      <c r="Q30" s="88"/>
      <c r="R30" s="88"/>
      <c r="S30" s="88"/>
      <c r="T30" s="88"/>
      <c r="U30" s="88"/>
      <c r="V30" s="88"/>
    </row>
    <row r="31">
      <c r="A31" s="88"/>
      <c r="B31" s="91" t="s">
        <v>449</v>
      </c>
      <c r="C31" s="91"/>
      <c r="D31" s="91"/>
      <c r="E31" s="91"/>
      <c r="F31" s="91"/>
      <c r="G31" s="91"/>
      <c r="H31" s="91"/>
      <c r="I31" s="91"/>
      <c r="J31" s="91"/>
      <c r="K31" s="91"/>
      <c r="L31" s="91"/>
      <c r="M31" s="91"/>
      <c r="N31" s="91"/>
      <c r="O31" s="88"/>
      <c r="P31" s="88"/>
      <c r="Q31" s="88"/>
      <c r="R31" s="88"/>
      <c r="S31" s="88"/>
      <c r="T31" s="88"/>
      <c r="U31" s="88"/>
      <c r="V31" s="88"/>
    </row>
    <row r="32">
      <c r="A32" s="88"/>
      <c r="B32" s="91" t="s">
        <v>120</v>
      </c>
      <c r="C32" s="91"/>
      <c r="D32" s="91"/>
      <c r="E32" s="91"/>
      <c r="F32" s="91"/>
      <c r="G32" s="91"/>
      <c r="H32" s="91"/>
      <c r="I32" s="91"/>
      <c r="J32" s="91"/>
      <c r="K32" s="91"/>
      <c r="L32" s="91"/>
      <c r="M32" s="91"/>
      <c r="N32" s="91"/>
      <c r="O32" s="88"/>
      <c r="P32" s="88"/>
      <c r="Q32" s="88"/>
      <c r="R32" s="88"/>
      <c r="S32" s="88"/>
      <c r="T32" s="88"/>
      <c r="U32" s="88"/>
      <c r="V32" s="88"/>
    </row>
    <row r="33">
      <c r="A33" s="88"/>
      <c r="B33" s="91" t="s">
        <v>123</v>
      </c>
      <c r="C33" s="91"/>
      <c r="D33" s="91"/>
      <c r="E33" s="91"/>
      <c r="F33" s="91"/>
      <c r="G33" s="91"/>
      <c r="H33" s="91"/>
      <c r="I33" s="91"/>
      <c r="J33" s="91"/>
      <c r="K33" s="91"/>
      <c r="L33" s="91"/>
      <c r="M33" s="91"/>
      <c r="N33" s="91"/>
      <c r="O33" s="88"/>
      <c r="P33" s="88"/>
      <c r="Q33" s="88"/>
      <c r="R33" s="88"/>
      <c r="S33" s="88"/>
      <c r="T33" s="88"/>
      <c r="U33" s="88"/>
      <c r="V33" s="88"/>
    </row>
    <row r="34">
      <c r="A34" s="88"/>
      <c r="B34" s="91" t="s">
        <v>456</v>
      </c>
      <c r="C34" s="91"/>
      <c r="D34" s="91">
        <f>(4*60+40)/210*100</f>
        <v>133.3333333</v>
      </c>
      <c r="E34" s="91">
        <f>(3*60+45)/220*100</f>
        <v>102.2727273</v>
      </c>
      <c r="F34" s="91"/>
      <c r="G34" s="91"/>
      <c r="H34" s="91"/>
      <c r="I34" s="91"/>
      <c r="J34" s="91"/>
      <c r="K34" s="91"/>
      <c r="L34" s="91"/>
      <c r="M34" s="91"/>
      <c r="N34" s="91"/>
      <c r="O34" s="92"/>
      <c r="P34" s="92"/>
      <c r="Q34" s="92"/>
      <c r="R34" s="92"/>
      <c r="S34" s="88"/>
      <c r="T34" s="88"/>
      <c r="U34" s="88"/>
      <c r="V34" s="88"/>
      <c r="W34" s="88"/>
      <c r="X34" s="88"/>
      <c r="Y34" s="88"/>
      <c r="Z34" s="88"/>
    </row>
    <row r="35">
      <c r="A35" s="88"/>
      <c r="B35" s="91" t="s">
        <v>457</v>
      </c>
      <c r="C35" s="91"/>
      <c r="D35" s="91"/>
      <c r="E35" s="91"/>
      <c r="F35" s="91"/>
      <c r="G35" s="91"/>
      <c r="H35" s="91"/>
      <c r="I35" s="91"/>
      <c r="J35" s="91"/>
      <c r="K35" s="91"/>
      <c r="L35" s="91"/>
      <c r="M35" s="91"/>
      <c r="N35" s="91"/>
      <c r="O35" s="92"/>
      <c r="P35" s="92"/>
      <c r="Q35" s="92"/>
      <c r="R35" s="92"/>
      <c r="S35" s="88"/>
      <c r="T35" s="88"/>
      <c r="U35" s="88"/>
      <c r="V35" s="88"/>
      <c r="W35" s="88"/>
      <c r="X35" s="88"/>
      <c r="Y35" s="88"/>
      <c r="Z35" s="88"/>
    </row>
    <row r="36">
      <c r="A36" s="88"/>
      <c r="B36" s="91" t="s">
        <v>274</v>
      </c>
      <c r="C36" s="91"/>
      <c r="D36" s="91">
        <f>150/90*100</f>
        <v>166.6666667</v>
      </c>
      <c r="E36" s="91"/>
      <c r="F36" s="91"/>
      <c r="G36" s="91"/>
      <c r="H36" s="91"/>
      <c r="I36" s="91"/>
      <c r="J36" s="91"/>
      <c r="K36" s="91"/>
      <c r="L36" s="91"/>
      <c r="M36" s="91"/>
      <c r="N36" s="91"/>
      <c r="O36" s="92"/>
      <c r="P36" s="92"/>
      <c r="Q36" s="92"/>
      <c r="R36" s="92"/>
      <c r="S36" s="88"/>
      <c r="T36" s="88"/>
      <c r="U36" s="88"/>
      <c r="V36" s="88"/>
      <c r="W36" s="88"/>
      <c r="X36" s="88"/>
      <c r="Y36" s="88"/>
      <c r="Z36" s="88"/>
    </row>
    <row r="37">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row>
    <row r="38">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row>
    <row r="39">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row>
    <row r="40">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row>
    <row r="44">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row>
    <row r="45">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row>
    <row r="46">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row>
    <row r="47">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row>
    <row r="48">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row>
    <row r="49">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row>
    <row r="50">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row>
    <row r="5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row>
    <row r="52">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row>
    <row r="53">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row>
    <row r="55">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row>
    <row r="56">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row>
    <row r="58">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row>
    <row r="59">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row>
    <row r="60">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row>
    <row r="6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row>
    <row r="62">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row>
    <row r="63">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row>
    <row r="64">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row>
    <row r="65">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row>
    <row r="66">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row>
    <row r="67">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row>
    <row r="68">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row>
    <row r="69">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row>
    <row r="70">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row>
    <row r="7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row>
    <row r="72">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row>
    <row r="73">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row>
    <row r="74">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row>
    <row r="75">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row>
    <row r="76">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row>
    <row r="77">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row>
    <row r="78">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row>
    <row r="79">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row>
    <row r="80">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row>
    <row r="8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row>
    <row r="82">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row>
    <row r="83">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row>
    <row r="84">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row>
    <row r="85">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row>
    <row r="86">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row>
    <row r="87">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row>
    <row r="88">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row>
    <row r="89">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row>
    <row r="90">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row>
    <row r="9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row>
    <row r="92">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row>
    <row r="93">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row>
    <row r="94">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row>
    <row r="95">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row>
    <row r="96">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row>
    <row r="97">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row>
    <row r="98">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row>
    <row r="99">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row>
    <row r="100">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row>
    <row r="10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row>
    <row r="102">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row>
    <row r="103">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row>
    <row r="104">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row>
    <row r="105">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row>
    <row r="106">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row>
    <row r="107">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row>
    <row r="108">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row>
    <row r="109">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row>
    <row r="110">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row>
    <row r="11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row>
    <row r="112">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row>
    <row r="113">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row>
    <row r="114">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row>
    <row r="252">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row>
    <row r="253">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row>
    <row r="254">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row>
    <row r="255">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row>
    <row r="256">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row>
    <row r="257">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row>
    <row r="258">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row>
    <row r="259">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row>
    <row r="260">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row>
    <row r="261">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row>
    <row r="262">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row>
    <row r="263">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row>
    <row r="264">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row>
    <row r="265">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row>
    <row r="266">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row>
    <row r="267">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row>
    <row r="268">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row>
    <row r="269">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row>
    <row r="270">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row>
    <row r="271">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row>
    <row r="272">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row>
    <row r="273">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row>
    <row r="274">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row>
    <row r="275">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row>
    <row r="276">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row>
    <row r="277">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row>
    <row r="278">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row>
    <row r="279">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row>
    <row r="280">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row>
    <row r="281">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row>
    <row r="282">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row>
    <row r="283">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row>
    <row r="284">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row>
    <row r="285">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row>
    <row r="286">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row>
    <row r="287">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row>
    <row r="288">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row>
    <row r="289">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row>
    <row r="290">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row>
    <row r="291">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row>
    <row r="292">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row>
    <row r="293">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row>
    <row r="294">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row>
    <row r="295">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row>
    <row r="296">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row>
    <row r="297">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row>
    <row r="298">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row>
    <row r="299">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row>
    <row r="300">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row>
    <row r="301">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row>
    <row r="302">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row>
    <row r="303">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row>
    <row r="304">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row>
    <row r="305">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row>
    <row r="306">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row>
    <row r="307">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row>
    <row r="308">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row>
    <row r="309">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row>
    <row r="310">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row>
    <row r="31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row>
    <row r="312">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row>
    <row r="313">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row>
    <row r="314">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row>
    <row r="315">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row>
    <row r="316">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row>
    <row r="317">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row>
    <row r="318">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row>
    <row r="319">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row>
    <row r="320">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row>
    <row r="32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row>
    <row r="322">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row>
    <row r="323">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row>
    <row r="324">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row>
    <row r="325">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row>
    <row r="326">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row>
    <row r="327">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row>
    <row r="328">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row>
    <row r="329">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row>
    <row r="330">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row>
    <row r="33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row>
    <row r="332">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row>
    <row r="333">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row>
    <row r="334">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row>
    <row r="335">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row>
    <row r="336">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row>
    <row r="337">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row>
    <row r="338">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row>
    <row r="339">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row>
    <row r="340">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row>
    <row r="34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row>
    <row r="342">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row>
    <row r="343">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row>
    <row r="344">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row>
    <row r="345">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row>
    <row r="346">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row>
    <row r="347">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row>
    <row r="348">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row>
    <row r="349">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row>
    <row r="350">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row>
    <row r="35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row>
    <row r="352">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row>
    <row r="353">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row>
    <row r="354">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row>
    <row r="355">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row>
    <row r="356">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row>
    <row r="357">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row>
    <row r="358">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row>
    <row r="359">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row>
    <row r="360">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row>
    <row r="36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row>
    <row r="362">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row>
    <row r="363">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row>
    <row r="364">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row>
    <row r="365">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row>
    <row r="366">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row>
    <row r="367">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row>
    <row r="368">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row>
    <row r="369">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row>
    <row r="370">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row>
    <row r="37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row>
    <row r="372">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row>
    <row r="373">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row>
    <row r="374">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row>
    <row r="375">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row>
    <row r="376">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row>
    <row r="377">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row>
    <row r="378">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row>
    <row r="379">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row>
    <row r="380">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row>
    <row r="38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row>
    <row r="382">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row>
    <row r="383">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row>
    <row r="384">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row>
    <row r="385">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row>
    <row r="386">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row>
    <row r="387">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row>
    <row r="388">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row>
    <row r="389">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row>
    <row r="390">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row>
    <row r="39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row>
    <row r="392">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row>
    <row r="393">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row>
    <row r="394">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row>
    <row r="395">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row>
    <row r="396">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row>
    <row r="397">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row>
    <row r="398">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row>
    <row r="399">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row>
    <row r="400">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row>
    <row r="40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row>
    <row r="402">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row>
    <row r="403">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row>
    <row r="404">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row>
    <row r="405">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row>
    <row r="406">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row>
    <row r="407">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row>
    <row r="408">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row>
    <row r="409">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row>
    <row r="410">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row>
    <row r="41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row>
    <row r="412">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row>
    <row r="413">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row>
    <row r="414">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row>
    <row r="415">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row>
    <row r="416">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row>
    <row r="417">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row>
    <row r="418">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row>
    <row r="419">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row>
    <row r="420">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row>
    <row r="42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row>
    <row r="422">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row>
    <row r="423">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row>
    <row r="424">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row>
    <row r="425">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row>
    <row r="426">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row>
    <row r="427">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row>
    <row r="428">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row>
    <row r="429">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row>
    <row r="430">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row>
    <row r="43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row>
    <row r="432">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row>
    <row r="433">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row>
    <row r="434">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row>
    <row r="435">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row>
    <row r="436">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row>
    <row r="437">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row>
    <row r="438">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row>
    <row r="439">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row>
    <row r="440">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row>
    <row r="44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row>
    <row r="442">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row>
    <row r="443">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row>
    <row r="444">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row>
    <row r="445">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row>
    <row r="446">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row>
    <row r="447">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row>
    <row r="448">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row>
    <row r="449">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row>
    <row r="450">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row>
    <row r="45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row>
    <row r="452">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row>
    <row r="453">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row>
    <row r="454">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row>
    <row r="455">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row>
    <row r="456">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row>
    <row r="457">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row>
    <row r="458">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row>
    <row r="459">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row>
    <row r="460">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row>
    <row r="46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row>
    <row r="462">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row>
    <row r="463">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row>
    <row r="464">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row>
    <row r="465">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row>
    <row r="466">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row>
    <row r="467">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row>
    <row r="468">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row>
    <row r="469">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row>
    <row r="470">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row>
    <row r="47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row>
    <row r="472">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row>
    <row r="473">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row>
    <row r="474">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row>
    <row r="475">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row>
    <row r="476">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row>
    <row r="477">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row>
    <row r="478">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row>
    <row r="479">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row>
    <row r="480">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row>
    <row r="48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row>
    <row r="482">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row>
    <row r="483">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row>
    <row r="484">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row>
    <row r="485">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row>
    <row r="486">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row>
    <row r="487">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row>
    <row r="488">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row>
    <row r="489">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row>
    <row r="490">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row>
    <row r="49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row>
    <row r="492">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row>
    <row r="493">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row>
    <row r="494">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row>
    <row r="495">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row>
    <row r="496">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row>
    <row r="497">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row>
    <row r="498">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row>
    <row r="499">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row>
    <row r="500">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row>
    <row r="50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row>
    <row r="502">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row>
    <row r="503">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row>
    <row r="504">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row>
    <row r="505">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row>
    <row r="506">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row>
    <row r="507">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row>
    <row r="508">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row>
    <row r="509">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row>
    <row r="510">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row>
    <row r="51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row>
    <row r="512">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row>
    <row r="513">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row>
    <row r="514">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row>
    <row r="515">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row>
    <row r="516">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row>
    <row r="517">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row>
    <row r="518">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row>
    <row r="519">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row>
    <row r="520">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row>
    <row r="52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row>
    <row r="522">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row>
    <row r="523">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row>
    <row r="524">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row>
    <row r="525">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row>
    <row r="526">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row>
    <row r="527">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row>
    <row r="528">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row>
    <row r="529">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row>
    <row r="530">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row>
    <row r="53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row>
    <row r="532">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row>
    <row r="533">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row>
    <row r="534">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row>
    <row r="535">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row>
    <row r="536">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row>
    <row r="537">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row>
    <row r="538">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row>
    <row r="539">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row>
    <row r="540">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row>
    <row r="54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row>
    <row r="542">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row>
    <row r="543">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row>
    <row r="544">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row>
    <row r="545">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row>
    <row r="546">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row>
    <row r="547">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row>
    <row r="548">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row>
    <row r="549">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row>
    <row r="550">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row>
    <row r="55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row>
    <row r="552">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row>
    <row r="553">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row>
    <row r="554">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row>
    <row r="555">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row>
    <row r="556">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row>
    <row r="557">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row>
    <row r="558">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row>
    <row r="559">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row>
    <row r="560">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row>
    <row r="56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row>
    <row r="562">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row>
    <row r="563">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row>
    <row r="564">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row>
    <row r="565">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row>
    <row r="566">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row>
    <row r="567">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row>
    <row r="568">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row>
    <row r="569">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row>
    <row r="570">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row>
    <row r="57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row>
    <row r="572">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row>
    <row r="573">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row>
    <row r="574">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row>
    <row r="575">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row>
    <row r="576">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row>
    <row r="577">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row>
    <row r="578">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row>
    <row r="579">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row>
    <row r="580">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row>
    <row r="58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row>
    <row r="582">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row>
    <row r="583">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row>
    <row r="584">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row>
    <row r="585">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row>
    <row r="586">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row>
    <row r="587">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row>
    <row r="588">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row>
    <row r="589">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row>
    <row r="590">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row>
    <row r="59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row>
    <row r="592">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row>
    <row r="593">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row>
    <row r="594">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row>
    <row r="595">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row>
    <row r="596">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row>
    <row r="597">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row>
    <row r="598">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row>
    <row r="599">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row>
    <row r="600">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row>
    <row r="60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row>
    <row r="602">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row>
    <row r="603">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row>
    <row r="604">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row>
    <row r="605">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row>
    <row r="606">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row>
    <row r="607">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row>
    <row r="608">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row>
    <row r="609">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row>
    <row r="610">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row>
    <row r="61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row>
    <row r="612">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row>
    <row r="613">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row>
    <row r="614">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row>
    <row r="615">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row>
    <row r="616">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row>
    <row r="617">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row>
    <row r="618">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row>
    <row r="619">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row>
    <row r="620">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row>
    <row r="62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row>
    <row r="622">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row>
    <row r="623">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row>
    <row r="624">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row>
    <row r="625">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row>
    <row r="626">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row>
    <row r="627">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row>
    <row r="628">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row>
    <row r="629">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row>
    <row r="630">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row>
    <row r="63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row>
    <row r="632">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row>
    <row r="633">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row>
    <row r="634">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row>
    <row r="635">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row>
    <row r="636">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row>
    <row r="637">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row>
    <row r="638">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row>
    <row r="639">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row>
    <row r="640">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row>
    <row r="64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row>
    <row r="642">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row>
    <row r="643">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row>
    <row r="644">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row>
    <row r="645">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row>
    <row r="646">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row>
    <row r="647">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row>
    <row r="648">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row>
    <row r="649">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row>
    <row r="650">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row>
    <row r="65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row>
    <row r="652">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row>
    <row r="653">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row>
    <row r="654">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row>
    <row r="655">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row>
    <row r="656">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row>
    <row r="657">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row>
    <row r="658">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row>
    <row r="659">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row>
    <row r="660">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row>
    <row r="66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row>
    <row r="662">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row>
    <row r="663">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row>
    <row r="664">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row>
    <row r="665">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row>
    <row r="666">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row>
    <row r="667">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row>
    <row r="668">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row>
    <row r="669">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row>
    <row r="670">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row>
    <row r="67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row>
    <row r="672">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row>
    <row r="673">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row>
    <row r="674">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row>
    <row r="675">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row>
    <row r="676">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row>
    <row r="677">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row>
    <row r="678">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row>
    <row r="679">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row>
    <row r="680">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row>
    <row r="68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row>
    <row r="682">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row>
    <row r="683">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row>
    <row r="684">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row>
    <row r="685">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row>
    <row r="686">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row>
    <row r="687">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row>
    <row r="688">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row>
    <row r="689">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row>
    <row r="690">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row>
    <row r="69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row>
    <row r="692">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row>
    <row r="693">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row>
    <row r="694">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row>
    <row r="695">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row>
    <row r="696">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row>
    <row r="697">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row>
    <row r="698">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row>
    <row r="699">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row>
    <row r="700">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row>
    <row r="70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row>
    <row r="702">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row>
    <row r="703">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row>
    <row r="704">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row>
    <row r="705">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row>
    <row r="706">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row>
    <row r="707">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row>
    <row r="708">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row>
    <row r="709">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row>
    <row r="710">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row>
    <row r="71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row>
    <row r="712">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row>
    <row r="713">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row>
    <row r="714">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row>
    <row r="715">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row>
    <row r="716">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row>
    <row r="717">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row>
    <row r="718">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row>
    <row r="719">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row>
    <row r="720">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row>
    <row r="72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row>
    <row r="722">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row>
    <row r="723">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row>
    <row r="724">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row>
    <row r="725">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row>
    <row r="726">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row>
    <row r="727">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row>
    <row r="728">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row>
    <row r="729">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row>
    <row r="730">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row>
    <row r="73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row>
    <row r="732">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row>
    <row r="733">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row>
    <row r="734">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row>
    <row r="735">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row>
    <row r="736">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row>
    <row r="737">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row>
    <row r="738">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row>
    <row r="739">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row>
    <row r="740">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row>
    <row r="74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row>
    <row r="742">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row>
    <row r="743">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row>
    <row r="744">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row>
    <row r="745">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row>
    <row r="746">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row>
    <row r="747">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row>
    <row r="748">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row>
    <row r="749">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row>
    <row r="750">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row>
    <row r="75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row>
    <row r="752">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row>
    <row r="753">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row>
    <row r="754">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row>
    <row r="755">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row>
    <row r="756">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row>
    <row r="757">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row>
    <row r="758">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row>
    <row r="759">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row>
    <row r="760">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row>
    <row r="76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row>
    <row r="762">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row>
    <row r="763">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row>
    <row r="764">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row>
    <row r="765">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row>
    <row r="766">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row>
    <row r="767">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row>
    <row r="768">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row>
    <row r="769">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row>
    <row r="770">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row>
    <row r="77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row>
    <row r="772">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row>
    <row r="773">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row>
    <row r="774">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row>
    <row r="775">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row>
    <row r="776">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row>
    <row r="777">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row>
    <row r="778">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row>
    <row r="779">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row>
    <row r="780">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row>
    <row r="78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row>
    <row r="782">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row>
    <row r="783">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row>
    <row r="784">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row>
    <row r="785">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row>
    <row r="786">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row>
    <row r="787">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row>
    <row r="788">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row>
    <row r="789">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row>
    <row r="790">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row>
    <row r="79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row>
    <row r="792">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row>
    <row r="793">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row>
    <row r="794">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row>
    <row r="795">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row>
    <row r="796">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row>
    <row r="797">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row>
    <row r="798">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row>
    <row r="799">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row>
    <row r="800">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row>
    <row r="80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row>
    <row r="802">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row>
    <row r="803">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row>
    <row r="804">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row>
    <row r="805">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row>
    <row r="806">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row>
    <row r="807">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row>
    <row r="808">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row>
    <row r="809">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row>
    <row r="810">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row>
    <row r="81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row>
    <row r="812">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row>
    <row r="813">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row>
    <row r="814">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row>
    <row r="815">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row>
    <row r="816">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row>
    <row r="817">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row>
    <row r="818">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row>
    <row r="819">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row>
    <row r="820">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row>
    <row r="82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row>
    <row r="822">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row>
    <row r="823">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row>
    <row r="824">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row>
    <row r="825">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row>
    <row r="826">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row>
    <row r="827">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row>
    <row r="828">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row>
    <row r="829">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row>
    <row r="830">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row>
    <row r="83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row>
    <row r="832">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row>
    <row r="833">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row>
    <row r="834">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row>
    <row r="835">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row>
    <row r="836">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row>
    <row r="837">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row>
    <row r="838">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row>
    <row r="839">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row>
    <row r="840">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row>
    <row r="84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row>
    <row r="842">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row>
    <row r="843">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row>
    <row r="844">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row>
    <row r="845">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row>
    <row r="846">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row>
    <row r="847">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row>
    <row r="848">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row>
    <row r="849">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row>
    <row r="850">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row>
    <row r="85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row>
    <row r="852">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row>
    <row r="853">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row>
    <row r="854">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row>
    <row r="855">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row>
    <row r="856">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row>
    <row r="857">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row>
    <row r="858">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row>
    <row r="859">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row>
    <row r="860">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row>
    <row r="86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row>
    <row r="862">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row>
    <row r="863">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row>
    <row r="864">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row>
    <row r="865">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row>
    <row r="866">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row>
    <row r="867">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row>
    <row r="868">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row>
    <row r="869">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row>
    <row r="870">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row>
    <row r="87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row>
    <row r="872">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row>
    <row r="873">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row>
    <row r="874">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row>
    <row r="875">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row>
    <row r="876">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row>
    <row r="877">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row>
    <row r="878">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row>
    <row r="879">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row>
    <row r="880">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row>
    <row r="88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row>
    <row r="882">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row>
    <row r="883">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row>
    <row r="884">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row>
    <row r="885">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row>
    <row r="886">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row>
    <row r="887">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row>
    <row r="888">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row>
    <row r="889">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row>
    <row r="890">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row>
    <row r="89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row>
    <row r="892">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row>
    <row r="893">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row>
    <row r="894">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row>
    <row r="895">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row>
    <row r="896">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row>
    <row r="897">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row>
    <row r="898">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row>
    <row r="899">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row>
    <row r="900">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row>
    <row r="90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row>
    <row r="902">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row>
    <row r="903">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row>
    <row r="904">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row>
    <row r="905">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row>
    <row r="906">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row>
    <row r="907">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row>
    <row r="908">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row>
    <row r="909">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row>
    <row r="910">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row>
    <row r="91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row>
    <row r="912">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row>
    <row r="913">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row>
    <row r="914">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row>
    <row r="915">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row>
    <row r="916">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row>
    <row r="917">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row>
    <row r="918">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row>
    <row r="919">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row>
    <row r="920">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row>
    <row r="92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row>
    <row r="922">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row>
    <row r="923">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row>
    <row r="924">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row>
    <row r="925">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row>
    <row r="926">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row>
    <row r="927">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row>
    <row r="928">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row>
    <row r="929">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row>
    <row r="930">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row>
    <row r="93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row>
    <row r="932">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row>
    <row r="933">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row>
    <row r="934">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row>
    <row r="935">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row>
    <row r="936">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row>
    <row r="937">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row>
    <row r="938">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row>
    <row r="939">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row>
    <row r="940">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row>
    <row r="94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row>
    <row r="942">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row>
    <row r="943">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row>
    <row r="944">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row>
    <row r="945">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row>
    <row r="946">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row>
    <row r="947">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row>
    <row r="948">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row>
    <row r="949">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row>
    <row r="950">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row>
    <row r="95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row>
    <row r="952">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row>
    <row r="953">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row>
    <row r="954">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row>
    <row r="955">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row>
    <row r="956">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row>
    <row r="957">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row>
    <row r="958">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row>
    <row r="959">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row>
    <row r="960">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row>
    <row r="96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row>
    <row r="962">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row>
    <row r="963">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row>
    <row r="964">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row>
    <row r="965">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row>
    <row r="966">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row>
    <row r="967">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row>
    <row r="968">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row>
    <row r="969">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row>
    <row r="970">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row>
    <row r="97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row>
    <row r="972">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row>
    <row r="973">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row>
    <row r="974">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row>
    <row r="975">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row>
    <row r="976">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row>
    <row r="977">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row>
    <row r="978">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row>
    <row r="979">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row>
    <row r="980">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row>
    <row r="98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row>
    <row r="982">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row>
    <row r="983">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row>
    <row r="984">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row>
    <row r="985">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row>
    <row r="986">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row>
    <row r="987">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row>
    <row r="988">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row>
    <row r="989">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row>
    <row r="990">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row>
    <row r="99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row>
    <row r="992">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row>
    <row r="993">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row>
    <row r="994">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row>
    <row r="995">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row>
    <row r="996">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row>
    <row r="997">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row>
    <row r="998">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row>
    <row r="999">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row>
    <row r="1000">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row>
    <row r="1001">
      <c r="A1001" s="88"/>
      <c r="B1001" s="88"/>
      <c r="C1001" s="88"/>
      <c r="D1001" s="88"/>
      <c r="E1001" s="88"/>
      <c r="F1001" s="88"/>
      <c r="G1001" s="88"/>
      <c r="H1001" s="88"/>
      <c r="I1001" s="88"/>
      <c r="J1001" s="88"/>
      <c r="K1001" s="88"/>
      <c r="L1001" s="88"/>
      <c r="M1001" s="88"/>
      <c r="N1001" s="88"/>
      <c r="O1001" s="88"/>
      <c r="P1001" s="88"/>
      <c r="Q1001" s="88"/>
      <c r="R1001" s="88"/>
      <c r="S1001" s="88"/>
      <c r="T1001" s="88"/>
      <c r="U1001" s="88"/>
      <c r="V1001" s="88"/>
      <c r="W1001" s="88"/>
      <c r="X1001" s="88"/>
      <c r="Y1001" s="88"/>
      <c r="Z1001" s="88"/>
    </row>
    <row r="1002">
      <c r="A1002" s="88"/>
      <c r="B1002" s="88"/>
      <c r="C1002" s="88"/>
      <c r="D1002" s="88"/>
      <c r="E1002" s="88"/>
      <c r="F1002" s="88"/>
      <c r="G1002" s="88"/>
      <c r="H1002" s="88"/>
      <c r="I1002" s="88"/>
      <c r="J1002" s="88"/>
      <c r="K1002" s="88"/>
      <c r="L1002" s="88"/>
      <c r="M1002" s="88"/>
      <c r="N1002" s="88"/>
      <c r="O1002" s="88"/>
      <c r="P1002" s="88"/>
      <c r="Q1002" s="88"/>
      <c r="R1002" s="88"/>
      <c r="S1002" s="88"/>
      <c r="T1002" s="88"/>
      <c r="U1002" s="88"/>
      <c r="V1002" s="88"/>
      <c r="W1002" s="88"/>
      <c r="X1002" s="88"/>
      <c r="Y1002" s="88"/>
      <c r="Z1002" s="88"/>
    </row>
  </sheetData>
  <drawing r:id="rId2"/>
  <legacyDrawing r:id="rId3"/>
  <tableParts count="1">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3" t="s">
        <v>46</v>
      </c>
      <c r="D1" s="3" t="s">
        <v>458</v>
      </c>
      <c r="E1" s="3" t="s">
        <v>459</v>
      </c>
    </row>
    <row r="2">
      <c r="C2" s="3" t="s">
        <v>460</v>
      </c>
      <c r="D2" s="3">
        <v>356.0</v>
      </c>
      <c r="E2" s="3">
        <v>360.0</v>
      </c>
    </row>
    <row r="3">
      <c r="B3" s="8">
        <v>45744.0</v>
      </c>
      <c r="C3" s="3" t="s">
        <v>461</v>
      </c>
      <c r="D3" s="3">
        <v>45.0</v>
      </c>
      <c r="E3" s="3">
        <v>48.0</v>
      </c>
    </row>
    <row r="4">
      <c r="B4" s="8">
        <v>45821.0</v>
      </c>
      <c r="C4" s="3" t="s">
        <v>462</v>
      </c>
      <c r="D4" s="3">
        <v>560.0</v>
      </c>
      <c r="E4" s="3">
        <v>576.0</v>
      </c>
    </row>
    <row r="5">
      <c r="B5" s="8">
        <v>45828.0</v>
      </c>
      <c r="C5" s="3" t="s">
        <v>463</v>
      </c>
      <c r="D5" s="3">
        <v>47.0</v>
      </c>
      <c r="E5" s="3">
        <v>48.0</v>
      </c>
    </row>
    <row r="6">
      <c r="B6" s="8">
        <v>45839.0</v>
      </c>
      <c r="C6" s="3" t="s">
        <v>464</v>
      </c>
      <c r="D6" s="3">
        <v>247.0</v>
      </c>
      <c r="E6" s="3">
        <v>250.0</v>
      </c>
    </row>
    <row r="7">
      <c r="B7" s="8">
        <v>45855.0</v>
      </c>
      <c r="C7" s="3" t="s">
        <v>465</v>
      </c>
      <c r="D7" s="3">
        <v>496.0</v>
      </c>
      <c r="E7" s="3">
        <v>500.0</v>
      </c>
    </row>
    <row r="8">
      <c r="B8" s="8">
        <v>45859.0</v>
      </c>
      <c r="C8" s="3" t="s">
        <v>466</v>
      </c>
      <c r="D8" s="3">
        <v>116.0</v>
      </c>
      <c r="E8" s="3">
        <v>144.0</v>
      </c>
    </row>
    <row r="12">
      <c r="B12" s="93" t="s">
        <v>467</v>
      </c>
      <c r="C12" s="93" t="s">
        <v>468</v>
      </c>
      <c r="D12" s="93" t="s">
        <v>469</v>
      </c>
      <c r="E12" s="93" t="s">
        <v>470</v>
      </c>
      <c r="F12" s="93" t="s">
        <v>471</v>
      </c>
      <c r="G12" s="93" t="s">
        <v>472</v>
      </c>
    </row>
    <row r="13">
      <c r="B13" s="3">
        <v>1.0</v>
      </c>
      <c r="C13" s="3" t="s">
        <v>473</v>
      </c>
      <c r="D13" s="3" t="s">
        <v>474</v>
      </c>
      <c r="E13" s="3" t="s">
        <v>475</v>
      </c>
      <c r="F13" s="3" t="s">
        <v>476</v>
      </c>
      <c r="G13" s="3" t="s">
        <v>477</v>
      </c>
    </row>
    <row r="14">
      <c r="B14" s="3">
        <v>2.0</v>
      </c>
      <c r="C14" s="3" t="s">
        <v>478</v>
      </c>
      <c r="D14" s="3" t="s">
        <v>479</v>
      </c>
      <c r="E14" s="3" t="s">
        <v>480</v>
      </c>
      <c r="F14" s="3" t="s">
        <v>481</v>
      </c>
      <c r="G14" s="3" t="s">
        <v>482</v>
      </c>
    </row>
    <row r="15">
      <c r="B15" s="3">
        <v>3.0</v>
      </c>
      <c r="C15" s="3" t="s">
        <v>483</v>
      </c>
      <c r="D15" s="3" t="s">
        <v>484</v>
      </c>
      <c r="E15" s="3" t="s">
        <v>485</v>
      </c>
      <c r="F15" s="3" t="s">
        <v>486</v>
      </c>
      <c r="G15" s="3" t="s">
        <v>487</v>
      </c>
    </row>
    <row r="16">
      <c r="B16" s="3">
        <v>4.0</v>
      </c>
      <c r="C16" s="3" t="s">
        <v>488</v>
      </c>
      <c r="D16" s="3" t="s">
        <v>489</v>
      </c>
      <c r="E16" s="3" t="s">
        <v>490</v>
      </c>
      <c r="F16" s="3" t="s">
        <v>491</v>
      </c>
      <c r="G16" s="3" t="s">
        <v>492</v>
      </c>
    </row>
    <row r="17">
      <c r="B17" s="3">
        <v>5.0</v>
      </c>
      <c r="C17" s="3" t="s">
        <v>493</v>
      </c>
      <c r="D17" s="3" t="s">
        <v>494</v>
      </c>
      <c r="E17" s="3" t="s">
        <v>495</v>
      </c>
      <c r="F17" s="3" t="s">
        <v>496</v>
      </c>
      <c r="G17" s="3" t="s">
        <v>497</v>
      </c>
    </row>
    <row r="18">
      <c r="B18" s="3">
        <v>6.0</v>
      </c>
      <c r="C18" s="3" t="s">
        <v>498</v>
      </c>
      <c r="D18" s="3" t="s">
        <v>499</v>
      </c>
      <c r="E18" s="3" t="s">
        <v>500</v>
      </c>
      <c r="F18" s="3" t="s">
        <v>501</v>
      </c>
      <c r="G18" s="3" t="s">
        <v>502</v>
      </c>
    </row>
    <row r="19">
      <c r="B19" s="3">
        <v>7.0</v>
      </c>
      <c r="C19" s="3" t="s">
        <v>503</v>
      </c>
      <c r="D19" s="3" t="s">
        <v>504</v>
      </c>
      <c r="E19" s="3" t="s">
        <v>505</v>
      </c>
      <c r="F19" s="3" t="s">
        <v>506</v>
      </c>
      <c r="G19" s="3" t="s">
        <v>507</v>
      </c>
    </row>
  </sheetData>
  <drawing r:id="rId1"/>
</worksheet>
</file>